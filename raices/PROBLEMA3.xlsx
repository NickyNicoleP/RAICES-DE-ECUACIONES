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Nicole_Perez\Documents\metodos\raices\MÉTODO_BISECCIÓN\"/>
    </mc:Choice>
  </mc:AlternateContent>
  <xr:revisionPtr revIDLastSave="0" documentId="13_ncr:1_{E4FCB1CF-2046-4E33-A1AA-2DE595E3E4EA}" xr6:coauthVersionLast="47" xr6:coauthVersionMax="47" xr10:uidLastSave="{00000000-0000-0000-0000-000000000000}"/>
  <bookViews>
    <workbookView xWindow="14400" yWindow="0" windowWidth="14400" windowHeight="15600" xr2:uid="{65C2803D-6914-4A81-A4F2-DF31DBF10844}"/>
  </bookViews>
  <sheets>
    <sheet name="CONFIG" sheetId="1" r:id="rId1"/>
    <sheet name="RAÍZ 1" sheetId="2" r:id="rId2"/>
    <sheet name="RAÍZ 2" sheetId="3" r:id="rId3"/>
    <sheet name="RAÍZ 3" sheetId="5" r:id="rId4"/>
    <sheet name="RESULTADOS" sheetId="4" r:id="rId5"/>
    <sheet name="NEWTON=-1.0" sheetId="6" r:id="rId6"/>
    <sheet name="NEWTON=0.5" sheetId="7" r:id="rId7"/>
    <sheet name="NEWTON=1.8" sheetId="8" r:id="rId8"/>
    <sheet name="RESULTADOS (2)" sheetId="9" r:id="rId9"/>
    <sheet name="SEC=-1.5,-0.5" sheetId="10" r:id="rId10"/>
    <sheet name="SEC=1,0" sheetId="11" r:id="rId11"/>
    <sheet name="SEC=1.5,2.0" sheetId="12" r:id="rId12"/>
    <sheet name="RESULTADOS (3)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5" i="1" l="1"/>
  <c r="B35" i="1"/>
  <c r="C28" i="1"/>
  <c r="B28" i="1"/>
  <c r="B25" i="1"/>
  <c r="C22" i="1"/>
  <c r="B22" i="1"/>
  <c r="C18" i="1"/>
  <c r="B18" i="1"/>
  <c r="C15" i="1"/>
  <c r="B15" i="1"/>
  <c r="B39" i="1"/>
  <c r="B36" i="1"/>
  <c r="B33" i="1"/>
  <c r="C38" i="1"/>
  <c r="B38" i="1"/>
  <c r="C32" i="1"/>
  <c r="B32" i="1"/>
  <c r="B29" i="1"/>
  <c r="C25" i="1"/>
  <c r="B26" i="1"/>
  <c r="B23" i="1"/>
  <c r="B5" i="9"/>
  <c r="B8" i="9"/>
  <c r="B4" i="9"/>
  <c r="C12" i="1"/>
  <c r="B12" i="1"/>
  <c r="H4" i="10"/>
  <c r="H5" i="10"/>
  <c r="H6" i="10"/>
  <c r="H7" i="10"/>
  <c r="H8" i="10"/>
  <c r="H9" i="10"/>
  <c r="H10" i="10"/>
  <c r="H11" i="10"/>
  <c r="H12" i="10"/>
  <c r="H3" i="10"/>
  <c r="D3" i="12"/>
  <c r="E3" i="12"/>
  <c r="D4" i="12" s="1"/>
  <c r="A4" i="12"/>
  <c r="A5" i="12" s="1"/>
  <c r="A6" i="12" s="1"/>
  <c r="A7" i="12" s="1"/>
  <c r="A8" i="12" s="1"/>
  <c r="B4" i="12"/>
  <c r="D3" i="11"/>
  <c r="E3" i="11"/>
  <c r="D4" i="11" s="1"/>
  <c r="A4" i="11"/>
  <c r="B4" i="11"/>
  <c r="A5" i="11"/>
  <c r="A6" i="11" s="1"/>
  <c r="A7" i="11" s="1"/>
  <c r="D3" i="10"/>
  <c r="E3" i="10"/>
  <c r="D4" i="10" s="1"/>
  <c r="A4" i="10"/>
  <c r="A5" i="10" s="1"/>
  <c r="A6" i="10" s="1"/>
  <c r="A7" i="10" s="1"/>
  <c r="A8" i="10" s="1"/>
  <c r="A9" i="10" s="1"/>
  <c r="A10" i="10" s="1"/>
  <c r="A11" i="10" s="1"/>
  <c r="A12" i="10" s="1"/>
  <c r="B4" i="10"/>
  <c r="F3" i="11" l="1"/>
  <c r="F3" i="10"/>
  <c r="F3" i="12"/>
  <c r="C4" i="11" l="1"/>
  <c r="G3" i="11"/>
  <c r="H3" i="11" s="1"/>
  <c r="C4" i="10"/>
  <c r="G3" i="10"/>
  <c r="G3" i="12"/>
  <c r="H3" i="12" s="1"/>
  <c r="C4" i="12"/>
  <c r="B5" i="11" l="1"/>
  <c r="E4" i="11"/>
  <c r="E4" i="10"/>
  <c r="D5" i="10" s="1"/>
  <c r="B5" i="10"/>
  <c r="E4" i="12"/>
  <c r="B5" i="12"/>
  <c r="D5" i="12" l="1"/>
  <c r="D5" i="11"/>
  <c r="F4" i="11"/>
  <c r="F4" i="10"/>
  <c r="F4" i="12"/>
  <c r="C5" i="11" l="1"/>
  <c r="G4" i="11"/>
  <c r="H4" i="11" s="1"/>
  <c r="G4" i="10"/>
  <c r="C5" i="10"/>
  <c r="G4" i="12"/>
  <c r="H4" i="12" s="1"/>
  <c r="C5" i="12"/>
  <c r="E5" i="11" l="1"/>
  <c r="F5" i="11" s="1"/>
  <c r="B6" i="11"/>
  <c r="E5" i="10"/>
  <c r="D6" i="10" s="1"/>
  <c r="B6" i="10"/>
  <c r="F5" i="10"/>
  <c r="E5" i="12"/>
  <c r="B6" i="12"/>
  <c r="D6" i="12" l="1"/>
  <c r="F5" i="12"/>
  <c r="G5" i="12" s="1"/>
  <c r="H5" i="12" s="1"/>
  <c r="C6" i="11"/>
  <c r="G5" i="11"/>
  <c r="D6" i="11"/>
  <c r="H5" i="11"/>
  <c r="G5" i="10"/>
  <c r="C6" i="10"/>
  <c r="C6" i="12"/>
  <c r="B7" i="13" l="1"/>
  <c r="B7" i="11"/>
  <c r="E6" i="11"/>
  <c r="F6" i="11" s="1"/>
  <c r="E6" i="10"/>
  <c r="D7" i="10" s="1"/>
  <c r="B7" i="10"/>
  <c r="F6" i="10"/>
  <c r="E6" i="12"/>
  <c r="F6" i="12"/>
  <c r="B7" i="12"/>
  <c r="D7" i="12" l="1"/>
  <c r="H6" i="12"/>
  <c r="G6" i="11"/>
  <c r="C7" i="13" s="1"/>
  <c r="C7" i="11"/>
  <c r="D7" i="11"/>
  <c r="H6" i="11"/>
  <c r="C7" i="10"/>
  <c r="G6" i="10"/>
  <c r="G6" i="12"/>
  <c r="C7" i="12"/>
  <c r="E7" i="11" l="1"/>
  <c r="F7" i="11" s="1"/>
  <c r="G7" i="11" s="1"/>
  <c r="B8" i="10"/>
  <c r="E7" i="10"/>
  <c r="E7" i="12"/>
  <c r="F7" i="12"/>
  <c r="B8" i="12"/>
  <c r="D8" i="12" l="1"/>
  <c r="H7" i="11"/>
  <c r="B8" i="13" s="1"/>
  <c r="D8" i="10"/>
  <c r="F7" i="10"/>
  <c r="G7" i="12"/>
  <c r="H7" i="12" s="1"/>
  <c r="C8" i="12"/>
  <c r="B10" i="13" s="1"/>
  <c r="C8" i="10" l="1"/>
  <c r="G7" i="10"/>
  <c r="E8" i="12"/>
  <c r="F8" i="12" l="1"/>
  <c r="B9" i="10"/>
  <c r="E8" i="10"/>
  <c r="D9" i="10" s="1"/>
  <c r="G8" i="12"/>
  <c r="C10" i="13" s="1"/>
  <c r="H8" i="12" l="1"/>
  <c r="B11" i="13" s="1"/>
  <c r="F8" i="10"/>
  <c r="C9" i="10" l="1"/>
  <c r="G8" i="10"/>
  <c r="B10" i="10" l="1"/>
  <c r="E9" i="10"/>
  <c r="D10" i="10" s="1"/>
  <c r="F9" i="10" l="1"/>
  <c r="C3" i="8"/>
  <c r="E3" i="8" s="1"/>
  <c r="D3" i="8"/>
  <c r="A4" i="8"/>
  <c r="A5" i="8" s="1"/>
  <c r="A6" i="8" s="1"/>
  <c r="A7" i="8" s="1"/>
  <c r="C3" i="7"/>
  <c r="E3" i="7" s="1"/>
  <c r="D3" i="7"/>
  <c r="A4" i="7"/>
  <c r="A5" i="7" s="1"/>
  <c r="A6" i="7" s="1"/>
  <c r="A7" i="7" s="1"/>
  <c r="C3" i="6"/>
  <c r="E3" i="6" s="1"/>
  <c r="D3" i="6"/>
  <c r="A4" i="6"/>
  <c r="A5" i="6" s="1"/>
  <c r="A6" i="6" s="1"/>
  <c r="A7" i="6" s="1"/>
  <c r="A8" i="6" s="1"/>
  <c r="A9" i="6" s="1"/>
  <c r="G9" i="10" l="1"/>
  <c r="C10" i="10"/>
  <c r="F3" i="8"/>
  <c r="B4" i="8"/>
  <c r="D4" i="8" s="1"/>
  <c r="G3" i="8"/>
  <c r="B4" i="6"/>
  <c r="F3" i="6"/>
  <c r="G3" i="6" s="1"/>
  <c r="C4" i="8"/>
  <c r="F3" i="7"/>
  <c r="G3" i="7" s="1"/>
  <c r="B4" i="7"/>
  <c r="C4" i="6"/>
  <c r="D4" i="6"/>
  <c r="B11" i="10" l="1"/>
  <c r="E10" i="10"/>
  <c r="D11" i="10" s="1"/>
  <c r="E4" i="6"/>
  <c r="B5" i="6" s="1"/>
  <c r="E4" i="8"/>
  <c r="D4" i="7"/>
  <c r="C4" i="7"/>
  <c r="F4" i="6"/>
  <c r="G4" i="6" s="1"/>
  <c r="F10" i="10" l="1"/>
  <c r="F4" i="8"/>
  <c r="G4" i="8" s="1"/>
  <c r="B5" i="8"/>
  <c r="E4" i="7"/>
  <c r="C5" i="6"/>
  <c r="D5" i="6"/>
  <c r="E5" i="6" s="1"/>
  <c r="G10" i="10" l="1"/>
  <c r="C11" i="10"/>
  <c r="D5" i="8"/>
  <c r="C5" i="8"/>
  <c r="F4" i="7"/>
  <c r="G4" i="7" s="1"/>
  <c r="B5" i="7"/>
  <c r="F5" i="6"/>
  <c r="G5" i="6" s="1"/>
  <c r="B6" i="6"/>
  <c r="B12" i="10" l="1"/>
  <c r="E11" i="10"/>
  <c r="D12" i="10" s="1"/>
  <c r="E5" i="8"/>
  <c r="C5" i="7"/>
  <c r="D5" i="7"/>
  <c r="C6" i="6"/>
  <c r="D6" i="6"/>
  <c r="E6" i="6" s="1"/>
  <c r="F11" i="10" l="1"/>
  <c r="F5" i="8"/>
  <c r="G5" i="8" s="1"/>
  <c r="B6" i="8"/>
  <c r="E5" i="7"/>
  <c r="F6" i="6"/>
  <c r="C4" i="9" s="1"/>
  <c r="B7" i="6"/>
  <c r="C12" i="10" l="1"/>
  <c r="G11" i="10"/>
  <c r="G6" i="6"/>
  <c r="C6" i="8"/>
  <c r="D6" i="8"/>
  <c r="F5" i="7"/>
  <c r="G5" i="7" s="1"/>
  <c r="B6" i="7"/>
  <c r="C7" i="6"/>
  <c r="D7" i="6"/>
  <c r="E7" i="6"/>
  <c r="B4" i="13" l="1"/>
  <c r="E12" i="10"/>
  <c r="F12" i="10" s="1"/>
  <c r="E6" i="8"/>
  <c r="B10" i="9" s="1"/>
  <c r="D6" i="7"/>
  <c r="C6" i="7"/>
  <c r="F7" i="6"/>
  <c r="G7" i="6" s="1"/>
  <c r="B8" i="6"/>
  <c r="B5" i="13" l="1"/>
  <c r="G12" i="10"/>
  <c r="C4" i="13" s="1"/>
  <c r="E6" i="7"/>
  <c r="B7" i="9" s="1"/>
  <c r="F6" i="8"/>
  <c r="B7" i="8"/>
  <c r="B7" i="7"/>
  <c r="C8" i="6"/>
  <c r="D8" i="6"/>
  <c r="E8" i="6" s="1"/>
  <c r="C10" i="9" l="1"/>
  <c r="G6" i="8"/>
  <c r="F6" i="7"/>
  <c r="C7" i="8"/>
  <c r="D7" i="8"/>
  <c r="E7" i="8" s="1"/>
  <c r="F7" i="8" s="1"/>
  <c r="C7" i="7"/>
  <c r="D7" i="7"/>
  <c r="E7" i="7" s="1"/>
  <c r="F7" i="7" s="1"/>
  <c r="F8" i="6"/>
  <c r="G8" i="6" s="1"/>
  <c r="B9" i="6"/>
  <c r="G7" i="8" l="1"/>
  <c r="B11" i="9" s="1"/>
  <c r="G7" i="7"/>
  <c r="C7" i="9"/>
  <c r="G6" i="7"/>
  <c r="C9" i="6"/>
  <c r="D9" i="6"/>
  <c r="E9" i="6" l="1"/>
  <c r="F9" i="6" s="1"/>
  <c r="G9" i="6" s="1"/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G3" i="5"/>
  <c r="E3" i="5"/>
  <c r="D3" i="5"/>
  <c r="F3" i="5" s="1"/>
  <c r="H3" i="5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G3" i="3"/>
  <c r="E3" i="3"/>
  <c r="D3" i="3"/>
  <c r="F3" i="3" s="1"/>
  <c r="H3" i="3" s="1"/>
  <c r="G3" i="2"/>
  <c r="E3" i="2"/>
  <c r="D3" i="2"/>
  <c r="F3" i="2" s="1"/>
  <c r="C4" i="2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H3" i="2" l="1"/>
  <c r="C4" i="5"/>
  <c r="B4" i="5"/>
  <c r="C4" i="3"/>
  <c r="B4" i="3"/>
  <c r="E4" i="3" s="1"/>
  <c r="B4" i="2"/>
  <c r="E4" i="2" s="1"/>
  <c r="G4" i="3" l="1"/>
  <c r="D4" i="5"/>
  <c r="F4" i="5" s="1"/>
  <c r="H4" i="5" s="1"/>
  <c r="E4" i="5"/>
  <c r="G4" i="5"/>
  <c r="D4" i="3"/>
  <c r="F4" i="3" s="1"/>
  <c r="H4" i="3" s="1"/>
  <c r="G4" i="2"/>
  <c r="D4" i="2"/>
  <c r="B5" i="3" l="1"/>
  <c r="C5" i="3"/>
  <c r="G5" i="3" s="1"/>
  <c r="F4" i="2"/>
  <c r="C5" i="5"/>
  <c r="B5" i="5"/>
  <c r="E5" i="3" l="1"/>
  <c r="D5" i="3"/>
  <c r="F5" i="3" s="1"/>
  <c r="H5" i="3" s="1"/>
  <c r="C5" i="2"/>
  <c r="B5" i="2"/>
  <c r="H4" i="2"/>
  <c r="D5" i="5"/>
  <c r="F5" i="5" s="1"/>
  <c r="H5" i="5" s="1"/>
  <c r="E5" i="5"/>
  <c r="G5" i="5"/>
  <c r="C6" i="3" l="1"/>
  <c r="B6" i="3"/>
  <c r="G5" i="2"/>
  <c r="E5" i="2"/>
  <c r="D5" i="2"/>
  <c r="F5" i="2" s="1"/>
  <c r="C6" i="5"/>
  <c r="B6" i="5"/>
  <c r="E6" i="3" l="1"/>
  <c r="D6" i="3"/>
  <c r="F6" i="3" s="1"/>
  <c r="H6" i="3" s="1"/>
  <c r="G6" i="3"/>
  <c r="H5" i="2"/>
  <c r="C6" i="2"/>
  <c r="G6" i="2" s="1"/>
  <c r="B6" i="2"/>
  <c r="D6" i="5"/>
  <c r="F6" i="5" s="1"/>
  <c r="H6" i="5" s="1"/>
  <c r="E6" i="5"/>
  <c r="G6" i="5"/>
  <c r="C7" i="3" l="1"/>
  <c r="B7" i="3"/>
  <c r="E6" i="2"/>
  <c r="D6" i="2"/>
  <c r="F6" i="2" s="1"/>
  <c r="H6" i="2" s="1"/>
  <c r="C7" i="5"/>
  <c r="B7" i="5"/>
  <c r="D7" i="3" l="1"/>
  <c r="F7" i="3" s="1"/>
  <c r="E7" i="3"/>
  <c r="G7" i="3"/>
  <c r="B7" i="2"/>
  <c r="C7" i="2"/>
  <c r="D7" i="5"/>
  <c r="F7" i="5" s="1"/>
  <c r="E7" i="5"/>
  <c r="G7" i="5"/>
  <c r="H7" i="5" l="1"/>
  <c r="C8" i="3"/>
  <c r="B8" i="3"/>
  <c r="H7" i="3"/>
  <c r="G7" i="2"/>
  <c r="E7" i="2"/>
  <c r="D7" i="2"/>
  <c r="F7" i="2" s="1"/>
  <c r="H7" i="2" s="1"/>
  <c r="C8" i="5"/>
  <c r="B8" i="5"/>
  <c r="D8" i="3" l="1"/>
  <c r="F8" i="3" s="1"/>
  <c r="E8" i="3"/>
  <c r="G8" i="3"/>
  <c r="B8" i="2"/>
  <c r="C8" i="2"/>
  <c r="G8" i="2" s="1"/>
  <c r="D8" i="5"/>
  <c r="F8" i="5" s="1"/>
  <c r="E8" i="5"/>
  <c r="G8" i="5"/>
  <c r="H8" i="5" l="1"/>
  <c r="C9" i="3"/>
  <c r="B9" i="3"/>
  <c r="H8" i="3"/>
  <c r="E8" i="2"/>
  <c r="D8" i="2"/>
  <c r="F8" i="2" s="1"/>
  <c r="H8" i="2" s="1"/>
  <c r="C9" i="5"/>
  <c r="B9" i="5"/>
  <c r="E9" i="3" l="1"/>
  <c r="D9" i="3"/>
  <c r="F9" i="3" s="1"/>
  <c r="H9" i="3" s="1"/>
  <c r="G9" i="3"/>
  <c r="B9" i="2"/>
  <c r="C9" i="2"/>
  <c r="D9" i="5"/>
  <c r="F9" i="5" s="1"/>
  <c r="E9" i="5"/>
  <c r="G9" i="5"/>
  <c r="H9" i="5" l="1"/>
  <c r="B10" i="3"/>
  <c r="C10" i="3"/>
  <c r="G10" i="3" s="1"/>
  <c r="G9" i="2"/>
  <c r="D9" i="2"/>
  <c r="F9" i="2" s="1"/>
  <c r="H9" i="2" s="1"/>
  <c r="E9" i="2"/>
  <c r="C10" i="5"/>
  <c r="B10" i="5"/>
  <c r="E10" i="3" l="1"/>
  <c r="D10" i="3"/>
  <c r="F10" i="3" s="1"/>
  <c r="H10" i="3" s="1"/>
  <c r="B10" i="2"/>
  <c r="C10" i="2"/>
  <c r="D10" i="5"/>
  <c r="F10" i="5" s="1"/>
  <c r="E10" i="5"/>
  <c r="G10" i="5"/>
  <c r="H10" i="5" l="1"/>
  <c r="B11" i="3"/>
  <c r="C11" i="3"/>
  <c r="G11" i="3" s="1"/>
  <c r="G10" i="2"/>
  <c r="D10" i="2"/>
  <c r="F10" i="2" s="1"/>
  <c r="H10" i="2" s="1"/>
  <c r="E10" i="2"/>
  <c r="C11" i="5"/>
  <c r="B11" i="5"/>
  <c r="D11" i="3" l="1"/>
  <c r="F11" i="3" s="1"/>
  <c r="H11" i="3" s="1"/>
  <c r="E11" i="3"/>
  <c r="B11" i="2"/>
  <c r="C11" i="2"/>
  <c r="D11" i="5"/>
  <c r="F11" i="5" s="1"/>
  <c r="E11" i="5"/>
  <c r="G11" i="5"/>
  <c r="H11" i="5" l="1"/>
  <c r="C12" i="3"/>
  <c r="B12" i="3"/>
  <c r="G11" i="2"/>
  <c r="E11" i="2"/>
  <c r="D11" i="2"/>
  <c r="F11" i="2" s="1"/>
  <c r="H11" i="2" s="1"/>
  <c r="C12" i="5"/>
  <c r="B12" i="5"/>
  <c r="E12" i="3" l="1"/>
  <c r="D12" i="3"/>
  <c r="F12" i="3" s="1"/>
  <c r="H12" i="3" s="1"/>
  <c r="G12" i="3"/>
  <c r="C12" i="2"/>
  <c r="B12" i="2"/>
  <c r="D12" i="5"/>
  <c r="F12" i="5" s="1"/>
  <c r="E12" i="5"/>
  <c r="G12" i="5"/>
  <c r="H12" i="5" l="1"/>
  <c r="B13" i="3"/>
  <c r="C13" i="3"/>
  <c r="G13" i="3" s="1"/>
  <c r="D12" i="2"/>
  <c r="F12" i="2" s="1"/>
  <c r="H12" i="2" s="1"/>
  <c r="E12" i="2"/>
  <c r="G12" i="2"/>
  <c r="C13" i="5"/>
  <c r="B13" i="5"/>
  <c r="D13" i="3" l="1"/>
  <c r="F13" i="3" s="1"/>
  <c r="H13" i="3" s="1"/>
  <c r="E13" i="3"/>
  <c r="C13" i="2"/>
  <c r="B13" i="2"/>
  <c r="D13" i="5"/>
  <c r="F13" i="5" s="1"/>
  <c r="E13" i="5"/>
  <c r="G13" i="5"/>
  <c r="H13" i="5" l="1"/>
  <c r="B14" i="3"/>
  <c r="C14" i="3"/>
  <c r="G14" i="3" s="1"/>
  <c r="D13" i="2"/>
  <c r="F13" i="2" s="1"/>
  <c r="H13" i="2" s="1"/>
  <c r="E13" i="2"/>
  <c r="G13" i="2"/>
  <c r="C14" i="5"/>
  <c r="B14" i="5"/>
  <c r="D14" i="3" l="1"/>
  <c r="F14" i="3" s="1"/>
  <c r="H14" i="3" s="1"/>
  <c r="E14" i="3"/>
  <c r="C14" i="2"/>
  <c r="B14" i="2"/>
  <c r="D14" i="5"/>
  <c r="F14" i="5" s="1"/>
  <c r="E14" i="5"/>
  <c r="G14" i="5"/>
  <c r="H14" i="5" l="1"/>
  <c r="C15" i="3"/>
  <c r="B15" i="3"/>
  <c r="E14" i="2"/>
  <c r="D14" i="2"/>
  <c r="F14" i="2" s="1"/>
  <c r="H14" i="2" s="1"/>
  <c r="G14" i="2"/>
  <c r="C15" i="5"/>
  <c r="B15" i="5"/>
  <c r="E15" i="3" l="1"/>
  <c r="D15" i="3"/>
  <c r="F15" i="3" s="1"/>
  <c r="H15" i="3" s="1"/>
  <c r="G15" i="3"/>
  <c r="C15" i="2"/>
  <c r="G15" i="2" s="1"/>
  <c r="B15" i="2"/>
  <c r="D15" i="5"/>
  <c r="F15" i="5" s="1"/>
  <c r="E15" i="5"/>
  <c r="G15" i="5"/>
  <c r="H15" i="5" l="1"/>
  <c r="C16" i="3"/>
  <c r="B16" i="3"/>
  <c r="D15" i="2"/>
  <c r="F15" i="2" s="1"/>
  <c r="H15" i="2" s="1"/>
  <c r="E15" i="2"/>
  <c r="C16" i="5"/>
  <c r="B16" i="5"/>
  <c r="D16" i="3" l="1"/>
  <c r="F16" i="3" s="1"/>
  <c r="E16" i="3"/>
  <c r="G16" i="3"/>
  <c r="B16" i="2"/>
  <c r="C16" i="2"/>
  <c r="D16" i="5"/>
  <c r="F16" i="5" s="1"/>
  <c r="E16" i="5"/>
  <c r="G16" i="5"/>
  <c r="H16" i="5" l="1"/>
  <c r="B17" i="3"/>
  <c r="C17" i="3"/>
  <c r="G17" i="3" s="1"/>
  <c r="H16" i="3"/>
  <c r="E16" i="2"/>
  <c r="D16" i="2"/>
  <c r="F16" i="2" s="1"/>
  <c r="H16" i="2" s="1"/>
  <c r="G16" i="2"/>
  <c r="C17" i="5"/>
  <c r="B17" i="5"/>
  <c r="D17" i="3" l="1"/>
  <c r="F17" i="3" s="1"/>
  <c r="H17" i="3" s="1"/>
  <c r="E17" i="3"/>
  <c r="B17" i="2"/>
  <c r="C17" i="2"/>
  <c r="G17" i="2" s="1"/>
  <c r="D17" i="5"/>
  <c r="F17" i="5" s="1"/>
  <c r="E17" i="5"/>
  <c r="G17" i="5"/>
  <c r="H17" i="5" l="1"/>
  <c r="B18" i="3"/>
  <c r="C18" i="3"/>
  <c r="G18" i="3" s="1"/>
  <c r="D17" i="2"/>
  <c r="F17" i="2" s="1"/>
  <c r="H17" i="2" s="1"/>
  <c r="E17" i="2"/>
  <c r="C18" i="5"/>
  <c r="B18" i="5"/>
  <c r="D18" i="3" l="1"/>
  <c r="F18" i="3" s="1"/>
  <c r="H18" i="3" s="1"/>
  <c r="E18" i="3"/>
  <c r="B18" i="2"/>
  <c r="C18" i="2"/>
  <c r="G18" i="2" s="1"/>
  <c r="D18" i="5"/>
  <c r="F18" i="5" s="1"/>
  <c r="E18" i="5"/>
  <c r="G18" i="5"/>
  <c r="H18" i="5" l="1"/>
  <c r="B19" i="3"/>
  <c r="C19" i="3"/>
  <c r="G19" i="3" s="1"/>
  <c r="D18" i="2"/>
  <c r="F18" i="2" s="1"/>
  <c r="H18" i="2" s="1"/>
  <c r="E18" i="2"/>
  <c r="C19" i="5"/>
  <c r="B19" i="5"/>
  <c r="E19" i="3" l="1"/>
  <c r="D19" i="3"/>
  <c r="F19" i="3" s="1"/>
  <c r="H19" i="3" s="1"/>
  <c r="C19" i="2"/>
  <c r="B19" i="2"/>
  <c r="D19" i="5"/>
  <c r="F19" i="5" s="1"/>
  <c r="E19" i="5"/>
  <c r="G19" i="5"/>
  <c r="H19" i="5" l="1"/>
  <c r="C20" i="3"/>
  <c r="B20" i="3"/>
  <c r="E19" i="2"/>
  <c r="D19" i="2"/>
  <c r="F19" i="2" s="1"/>
  <c r="H19" i="2" s="1"/>
  <c r="G19" i="2"/>
  <c r="C20" i="5"/>
  <c r="B20" i="5"/>
  <c r="E20" i="3" l="1"/>
  <c r="D20" i="3"/>
  <c r="F20" i="3" s="1"/>
  <c r="H20" i="3" s="1"/>
  <c r="G20" i="3"/>
  <c r="C20" i="2"/>
  <c r="B20" i="2"/>
  <c r="D20" i="5"/>
  <c r="F20" i="5" s="1"/>
  <c r="E20" i="5"/>
  <c r="G20" i="5"/>
  <c r="H20" i="5" l="1"/>
  <c r="C21" i="3"/>
  <c r="B21" i="3"/>
  <c r="D20" i="2"/>
  <c r="F20" i="2" s="1"/>
  <c r="E20" i="2"/>
  <c r="G20" i="2"/>
  <c r="C21" i="5"/>
  <c r="B21" i="5"/>
  <c r="D21" i="3" l="1"/>
  <c r="F21" i="3" s="1"/>
  <c r="E21" i="3"/>
  <c r="G21" i="3"/>
  <c r="B21" i="2"/>
  <c r="C21" i="2"/>
  <c r="G21" i="2" s="1"/>
  <c r="H20" i="2"/>
  <c r="D21" i="5"/>
  <c r="F21" i="5" s="1"/>
  <c r="H21" i="5" s="1"/>
  <c r="E21" i="5"/>
  <c r="G21" i="5"/>
  <c r="C22" i="3" l="1"/>
  <c r="B22" i="3"/>
  <c r="H21" i="3"/>
  <c r="D21" i="2"/>
  <c r="F21" i="2" s="1"/>
  <c r="H21" i="2" s="1"/>
  <c r="E21" i="2"/>
  <c r="C22" i="5"/>
  <c r="B22" i="5"/>
  <c r="E22" i="3" l="1"/>
  <c r="D22" i="3"/>
  <c r="F22" i="3" s="1"/>
  <c r="H22" i="3" s="1"/>
  <c r="G22" i="3"/>
  <c r="C22" i="2"/>
  <c r="B22" i="2"/>
  <c r="D22" i="5"/>
  <c r="E22" i="5"/>
  <c r="G22" i="5"/>
  <c r="F22" i="5" l="1"/>
  <c r="B10" i="4"/>
  <c r="B23" i="3"/>
  <c r="C23" i="3"/>
  <c r="G23" i="3" s="1"/>
  <c r="E22" i="2"/>
  <c r="D22" i="2"/>
  <c r="G22" i="2"/>
  <c r="C23" i="5"/>
  <c r="B23" i="5"/>
  <c r="B7" i="4"/>
  <c r="C10" i="4" l="1"/>
  <c r="H22" i="5"/>
  <c r="B11" i="4" s="1"/>
  <c r="D23" i="3"/>
  <c r="F23" i="3" s="1"/>
  <c r="H23" i="3" s="1"/>
  <c r="B16" i="1" s="1"/>
  <c r="E23" i="3"/>
  <c r="F22" i="2"/>
  <c r="B23" i="2" s="1"/>
  <c r="B4" i="4"/>
  <c r="C23" i="2"/>
  <c r="D23" i="5"/>
  <c r="F23" i="5" s="1"/>
  <c r="H23" i="5" s="1"/>
  <c r="B19" i="1" s="1"/>
  <c r="E23" i="5"/>
  <c r="G23" i="5"/>
  <c r="B8" i="4"/>
  <c r="C7" i="4"/>
  <c r="D23" i="2" l="1"/>
  <c r="F23" i="2" s="1"/>
  <c r="E23" i="2"/>
  <c r="G23" i="2"/>
  <c r="H22" i="2"/>
  <c r="C4" i="4"/>
  <c r="B5" i="4" l="1"/>
  <c r="B13" i="1"/>
  <c r="H23" i="2"/>
</calcChain>
</file>

<file path=xl/sharedStrings.xml><?xml version="1.0" encoding="utf-8"?>
<sst xmlns="http://schemas.openxmlformats.org/spreadsheetml/2006/main" count="133" uniqueCount="35">
  <si>
    <t>PARÁMETROS:</t>
  </si>
  <si>
    <t>Tolerancia (TOL):</t>
  </si>
  <si>
    <t>Máx iteraciones:</t>
  </si>
  <si>
    <t>ITER</t>
  </si>
  <si>
    <t>a</t>
  </si>
  <si>
    <t>b</t>
  </si>
  <si>
    <t>c</t>
  </si>
  <si>
    <t>f(a)</t>
  </si>
  <si>
    <t>Error</t>
  </si>
  <si>
    <t>¿Parar?</t>
  </si>
  <si>
    <t>f(c)</t>
  </si>
  <si>
    <t>RAÍZ 1:</t>
  </si>
  <si>
    <t>Iteraciones:</t>
  </si>
  <si>
    <t>RAÍZ 2:</t>
  </si>
  <si>
    <t>MÉTODO DE BISCECCIÓN - PROBLEMA 3</t>
  </si>
  <si>
    <t>Ecuación: x³ - x²e^(-0.5x) - 3x = -1</t>
  </si>
  <si>
    <t>Función f(x):</t>
  </si>
  <si>
    <t>"=3*SENO(0.5*x) - 0.5*x + 2"</t>
  </si>
  <si>
    <t>RAÍZ 3:</t>
  </si>
  <si>
    <t>RESULTADOS PROBLEMA 3</t>
  </si>
  <si>
    <t>MÉTODO DE BISCECCIÓN</t>
  </si>
  <si>
    <t>MÉTODO DE BISECCIÓN</t>
  </si>
  <si>
    <t>x_n+1</t>
  </si>
  <si>
    <t>f'(x_n)</t>
  </si>
  <si>
    <t>f(x_n)</t>
  </si>
  <si>
    <t>x_n</t>
  </si>
  <si>
    <t>MÉTODO DE NEWTON RAPHSON</t>
  </si>
  <si>
    <t>f(x_n-1)</t>
  </si>
  <si>
    <t>x_n-1</t>
  </si>
  <si>
    <t>RESULTADOS PROBLEMA 1</t>
  </si>
  <si>
    <t>MÉTODO DE LA SECANTE</t>
  </si>
  <si>
    <t>RESULTADOS FINALES</t>
  </si>
  <si>
    <t>Raíz</t>
  </si>
  <si>
    <t>METODO DE LA BISCECCIÓN</t>
  </si>
  <si>
    <t>MÉTODO NEWTON RAPHSON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</si>
</sst>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11"/>
      <name val="Century Gothic"/>
      <family val="2"/>
      <scheme val="minor"/>
    </font>
    <font>
      <u/>
      <sz val="11"/>
      <color theme="1"/>
      <name val="Century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1" fontId="2" fillId="0" borderId="0" xfId="0" applyNumberFormat="1" applyFont="1" applyAlignment="1">
      <alignment horizontal="left" vertical="center" indent="1"/>
    </xf>
    <xf numFmtId="11" fontId="2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ala de reuniones Ion">
  <a:themeElements>
    <a:clrScheme name="Sala de reuniones Ion">
      <a:dk1>
        <a:sysClr val="windowText" lastClr="000000"/>
      </a:dk1>
      <a:lt1>
        <a:sysClr val="window" lastClr="FFFFFF"/>
      </a:lt1>
      <a:dk2>
        <a:srgbClr val="3B3059"/>
      </a:dk2>
      <a:lt2>
        <a:srgbClr val="EBEBEB"/>
      </a:lt2>
      <a:accent1>
        <a:srgbClr val="B31166"/>
      </a:accent1>
      <a:accent2>
        <a:srgbClr val="E33D6F"/>
      </a:accent2>
      <a:accent3>
        <a:srgbClr val="E45F3C"/>
      </a:accent3>
      <a:accent4>
        <a:srgbClr val="E9943A"/>
      </a:accent4>
      <a:accent5>
        <a:srgbClr val="9B6BF2"/>
      </a:accent5>
      <a:accent6>
        <a:srgbClr val="D53DD0"/>
      </a:accent6>
      <a:hlink>
        <a:srgbClr val="8F8F8F"/>
      </a:hlink>
      <a:folHlink>
        <a:srgbClr val="A5A5A5"/>
      </a:folHlink>
    </a:clrScheme>
    <a:fontScheme name="Sala de reuniones Ion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ala de reuniones Ion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CBB83-8B0A-4812-9804-F2030B7DF816}">
  <dimension ref="A1:E39"/>
  <sheetViews>
    <sheetView tabSelected="1" topLeftCell="A7" workbookViewId="0">
      <selection activeCell="C22" sqref="C22"/>
    </sheetView>
  </sheetViews>
  <sheetFormatPr baseColWidth="10" defaultRowHeight="16.5" x14ac:dyDescent="0.3"/>
  <cols>
    <col min="1" max="1" width="30.25" customWidth="1"/>
    <col min="2" max="2" width="14.125" bestFit="1" customWidth="1"/>
    <col min="3" max="3" width="12.625" bestFit="1" customWidth="1"/>
  </cols>
  <sheetData>
    <row r="1" spans="1:5" x14ac:dyDescent="0.3">
      <c r="A1" s="16" t="s">
        <v>14</v>
      </c>
      <c r="B1" s="16"/>
      <c r="C1" s="16"/>
      <c r="D1" s="16"/>
      <c r="E1" s="16"/>
    </row>
    <row r="2" spans="1:5" x14ac:dyDescent="0.3">
      <c r="A2" s="16" t="s">
        <v>15</v>
      </c>
      <c r="B2" s="16"/>
      <c r="C2" s="16"/>
      <c r="D2" s="16"/>
      <c r="E2" s="2"/>
    </row>
    <row r="3" spans="1:5" x14ac:dyDescent="0.3">
      <c r="A3" s="10"/>
      <c r="B3" s="10"/>
      <c r="C3" s="10"/>
      <c r="D3" s="10"/>
    </row>
    <row r="4" spans="1:5" x14ac:dyDescent="0.3">
      <c r="A4" s="16" t="s">
        <v>0</v>
      </c>
      <c r="B4" s="16"/>
      <c r="C4" s="16"/>
      <c r="D4" s="10"/>
    </row>
    <row r="5" spans="1:5" x14ac:dyDescent="0.3">
      <c r="A5" s="6" t="s">
        <v>1</v>
      </c>
      <c r="B5" s="10">
        <v>9.9999999999999995E-7</v>
      </c>
      <c r="D5" s="10"/>
    </row>
    <row r="6" spans="1:5" x14ac:dyDescent="0.3">
      <c r="A6" s="6" t="s">
        <v>2</v>
      </c>
      <c r="B6" s="10">
        <v>20</v>
      </c>
      <c r="D6" s="10"/>
    </row>
    <row r="7" spans="1:5" x14ac:dyDescent="0.3">
      <c r="A7" t="s">
        <v>16</v>
      </c>
      <c r="B7" s="17" t="s">
        <v>17</v>
      </c>
      <c r="C7" s="17"/>
      <c r="D7" s="10"/>
    </row>
    <row r="8" spans="1:5" x14ac:dyDescent="0.3">
      <c r="A8" s="10"/>
      <c r="B8" s="10"/>
      <c r="C8" s="10"/>
      <c r="D8" s="10"/>
    </row>
    <row r="9" spans="1:5" x14ac:dyDescent="0.3">
      <c r="A9" s="20" t="s">
        <v>31</v>
      </c>
      <c r="B9" s="20"/>
      <c r="C9" s="20"/>
      <c r="D9" s="10"/>
    </row>
    <row r="10" spans="1:5" x14ac:dyDescent="0.3">
      <c r="A10" s="10"/>
      <c r="B10" s="10" t="s">
        <v>32</v>
      </c>
      <c r="C10" s="10" t="s">
        <v>8</v>
      </c>
      <c r="D10" s="10"/>
    </row>
    <row r="11" spans="1:5" x14ac:dyDescent="0.3">
      <c r="A11" s="18" t="s">
        <v>33</v>
      </c>
      <c r="B11" s="18"/>
      <c r="C11" s="18"/>
      <c r="D11" s="10"/>
    </row>
    <row r="12" spans="1:5" x14ac:dyDescent="0.3">
      <c r="A12" s="8" t="s">
        <v>11</v>
      </c>
      <c r="B12" s="3">
        <f>'RAÍZ 1'!D22</f>
        <v>-1.2340936660766602</v>
      </c>
      <c r="C12" s="3">
        <f>'RAÍZ 1'!F22</f>
        <v>-2.9526938138957348E-6</v>
      </c>
      <c r="D12" s="10"/>
    </row>
    <row r="13" spans="1:5" x14ac:dyDescent="0.3">
      <c r="A13" s="8" t="s">
        <v>12</v>
      </c>
      <c r="B13" s="3">
        <f>COUNTIF('RAÍZ 1'!H3:H22,"→")+1</f>
        <v>20</v>
      </c>
      <c r="C13" s="3"/>
    </row>
    <row r="14" spans="1:5" x14ac:dyDescent="0.3">
      <c r="A14" s="3"/>
      <c r="B14" s="3"/>
      <c r="C14" s="3"/>
    </row>
    <row r="15" spans="1:5" x14ac:dyDescent="0.3">
      <c r="A15" s="12" t="s">
        <v>13</v>
      </c>
      <c r="B15" s="3">
        <f>'RAÍZ 2'!D21</f>
        <v>0.31546592712402344</v>
      </c>
      <c r="C15" s="1">
        <f>'RAÍZ 2'!F21</f>
        <v>2.3553904537898518E-7</v>
      </c>
    </row>
    <row r="16" spans="1:5" x14ac:dyDescent="0.3">
      <c r="A16" s="12" t="s">
        <v>12</v>
      </c>
      <c r="B16" s="1">
        <f>COUNTIF('RAÍZ 2'!H2:H30,"→")+1</f>
        <v>19</v>
      </c>
      <c r="C16" s="3"/>
    </row>
    <row r="17" spans="1:3" x14ac:dyDescent="0.3">
      <c r="A17" s="3"/>
      <c r="B17" s="3"/>
      <c r="C17" s="3"/>
    </row>
    <row r="18" spans="1:3" x14ac:dyDescent="0.3">
      <c r="A18" s="12" t="s">
        <v>18</v>
      </c>
      <c r="B18" s="3">
        <f>'RAÍZ 3'!D21</f>
        <v>1.7802400588989258</v>
      </c>
      <c r="C18" s="1">
        <f>'RAÍZ 3'!F21</f>
        <v>-2.516497151106023E-6</v>
      </c>
    </row>
    <row r="19" spans="1:3" x14ac:dyDescent="0.3">
      <c r="A19" s="12" t="s">
        <v>12</v>
      </c>
      <c r="B19" s="1">
        <f>COUNTIF('RAÍZ 3'!H2:H30,"→")+1</f>
        <v>19</v>
      </c>
      <c r="C19" s="3"/>
    </row>
    <row r="21" spans="1:3" x14ac:dyDescent="0.3">
      <c r="A21" s="18" t="s">
        <v>34</v>
      </c>
      <c r="B21" s="18"/>
      <c r="C21" s="18"/>
    </row>
    <row r="22" spans="1:3" x14ac:dyDescent="0.3">
      <c r="A22" s="8" t="s">
        <v>11</v>
      </c>
      <c r="B22" s="3">
        <f>'NEWTON=-1.0'!E7</f>
        <v>-1.2340932752501528</v>
      </c>
      <c r="C22" s="15">
        <f>'NEWTON=-1.0'!F7</f>
        <v>5.9950850950230006E-9</v>
      </c>
    </row>
    <row r="23" spans="1:3" x14ac:dyDescent="0.3">
      <c r="A23" s="8" t="s">
        <v>12</v>
      </c>
      <c r="B23" s="3">
        <f>COUNTIF('NEWTON=-1.0'!G2:G20,"→")+1</f>
        <v>5</v>
      </c>
      <c r="C23" s="3"/>
    </row>
    <row r="24" spans="1:3" x14ac:dyDescent="0.3">
      <c r="A24" s="3"/>
      <c r="B24" s="3"/>
      <c r="C24" s="3"/>
    </row>
    <row r="25" spans="1:3" x14ac:dyDescent="0.3">
      <c r="A25" s="12" t="s">
        <v>13</v>
      </c>
      <c r="B25" s="3">
        <f>'NEWTON=0.5'!E6</f>
        <v>0.31546600078037806</v>
      </c>
      <c r="C25" s="14">
        <f>'NEWTON=0.5'!F6</f>
        <v>1.0407841255499761E-11</v>
      </c>
    </row>
    <row r="26" spans="1:3" x14ac:dyDescent="0.3">
      <c r="A26" s="12" t="s">
        <v>12</v>
      </c>
      <c r="B26" s="1">
        <f>COUNTIF('NEWTON=0.5'!G2:G20,"→")+1</f>
        <v>4</v>
      </c>
      <c r="C26" s="3"/>
    </row>
    <row r="27" spans="1:3" x14ac:dyDescent="0.3">
      <c r="A27" s="3"/>
      <c r="B27" s="3"/>
      <c r="C27" s="3"/>
    </row>
    <row r="28" spans="1:3" x14ac:dyDescent="0.3">
      <c r="A28" s="12" t="s">
        <v>18</v>
      </c>
      <c r="B28" s="3">
        <f>'NEWTON=1.8'!E5</f>
        <v>1.7802405006633699</v>
      </c>
      <c r="C28" s="14">
        <f>'NEWTON=1.8'!F5</f>
        <v>1.289980831042925E-7</v>
      </c>
    </row>
    <row r="29" spans="1:3" x14ac:dyDescent="0.3">
      <c r="A29" s="12" t="s">
        <v>12</v>
      </c>
      <c r="B29" s="1">
        <f>COUNTIF('NEWTON=1.8'!G2:G20,"→")+1</f>
        <v>3</v>
      </c>
      <c r="C29" s="3"/>
    </row>
    <row r="31" spans="1:3" x14ac:dyDescent="0.3">
      <c r="A31" s="18" t="s">
        <v>30</v>
      </c>
      <c r="B31" s="18"/>
      <c r="C31" s="18"/>
    </row>
    <row r="32" spans="1:3" x14ac:dyDescent="0.3">
      <c r="A32" s="8" t="s">
        <v>11</v>
      </c>
      <c r="B32" s="3">
        <f>'SEC=-1.5,-0.5'!C12</f>
        <v>-1.2340932740890425</v>
      </c>
      <c r="C32" s="15">
        <f>'SEC=-1.5,-0.5'!G12</f>
        <v>1.1611065442451718E-9</v>
      </c>
    </row>
    <row r="33" spans="1:3" x14ac:dyDescent="0.3">
      <c r="A33" s="8" t="s">
        <v>12</v>
      </c>
      <c r="B33" s="3">
        <f>COUNTIF('SEC=-1.5,-0.5'!H2:H20,"→")+1</f>
        <v>10</v>
      </c>
      <c r="C33" s="3"/>
    </row>
    <row r="34" spans="1:3" x14ac:dyDescent="0.3">
      <c r="A34" s="3"/>
      <c r="B34" s="3"/>
      <c r="C34" s="3"/>
    </row>
    <row r="35" spans="1:3" x14ac:dyDescent="0.3">
      <c r="A35" s="12" t="s">
        <v>13</v>
      </c>
      <c r="B35" s="3">
        <f>'SEC=1,0'!C7</f>
        <v>0.3154666478998896</v>
      </c>
      <c r="C35" s="14">
        <f>'SEC=1,0'!G7</f>
        <v>6.4713657937920388E-7</v>
      </c>
    </row>
    <row r="36" spans="1:3" x14ac:dyDescent="0.3">
      <c r="A36" s="12" t="s">
        <v>12</v>
      </c>
      <c r="B36" s="1">
        <f>COUNTIF('SEC=1,0'!H2:H20,"→")+1</f>
        <v>5</v>
      </c>
      <c r="C36" s="3"/>
    </row>
    <row r="37" spans="1:3" x14ac:dyDescent="0.3">
      <c r="A37" s="3"/>
      <c r="B37" s="3"/>
      <c r="C37" s="3"/>
    </row>
    <row r="38" spans="1:3" x14ac:dyDescent="0.3">
      <c r="A38" s="12" t="s">
        <v>13</v>
      </c>
      <c r="B38" s="3">
        <f>'SEC=1.5,2.0'!C8</f>
        <v>1.7802404948363257</v>
      </c>
      <c r="C38" s="14">
        <f>'SEC=1.5,2.0'!G8</f>
        <v>5.8270746006172658E-9</v>
      </c>
    </row>
    <row r="39" spans="1:3" x14ac:dyDescent="0.3">
      <c r="A39" s="12" t="s">
        <v>12</v>
      </c>
      <c r="B39" s="1">
        <f>COUNTIF('SEC=1.5,2.0'!H2:H20,"→")+1</f>
        <v>6</v>
      </c>
      <c r="C39" s="3"/>
    </row>
  </sheetData>
  <mergeCells count="8">
    <mergeCell ref="A11:C11"/>
    <mergeCell ref="A21:C21"/>
    <mergeCell ref="A31:C31"/>
    <mergeCell ref="A4:C4"/>
    <mergeCell ref="B7:C7"/>
    <mergeCell ref="A1:E1"/>
    <mergeCell ref="A2:D2"/>
    <mergeCell ref="A9:C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8DFA3-04DF-4E47-A28C-674CCF9F121A}">
  <dimension ref="A1:H153"/>
  <sheetViews>
    <sheetView zoomScale="98" zoomScaleNormal="98" workbookViewId="0">
      <selection activeCell="A2" sqref="A2"/>
    </sheetView>
  </sheetViews>
  <sheetFormatPr baseColWidth="10" defaultRowHeight="16.5" x14ac:dyDescent="0.3"/>
  <cols>
    <col min="1" max="4" width="11.5" customWidth="1"/>
    <col min="5" max="5" width="14.25" customWidth="1"/>
    <col min="6" max="6" width="13.25" customWidth="1"/>
    <col min="7" max="8" width="11.5" customWidth="1"/>
  </cols>
  <sheetData>
    <row r="1" spans="1:8" x14ac:dyDescent="0.3">
      <c r="A1" s="18" t="s">
        <v>20</v>
      </c>
      <c r="B1" s="18"/>
      <c r="C1" s="18"/>
      <c r="D1" s="18"/>
      <c r="E1" s="18"/>
      <c r="F1" s="18"/>
      <c r="G1" s="18"/>
      <c r="H1" s="18"/>
    </row>
    <row r="2" spans="1:8" x14ac:dyDescent="0.3">
      <c r="A2" s="6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10</v>
      </c>
      <c r="G2" s="6" t="s">
        <v>8</v>
      </c>
      <c r="H2" s="6" t="s">
        <v>9</v>
      </c>
    </row>
    <row r="3" spans="1:8" x14ac:dyDescent="0.3">
      <c r="A3" s="7">
        <v>1</v>
      </c>
      <c r="B3" s="4">
        <v>-1.5</v>
      </c>
      <c r="C3" s="4">
        <v>-0.5</v>
      </c>
      <c r="D3" s="4">
        <f>(B3+C3)/2</f>
        <v>-1</v>
      </c>
      <c r="E3" s="4">
        <f>B3^3 - B3^2*EXP(-0.5*B3) - 3*B3 + 1</f>
        <v>-2.6382500373785192</v>
      </c>
      <c r="F3" s="4">
        <f>D3^3 - D3^2*EXP(-0.5*D3) - 3*D3 + 1</f>
        <v>1.3512787292998718</v>
      </c>
      <c r="G3" s="4">
        <f>ABS(C3-B3)/2</f>
        <v>0.5</v>
      </c>
      <c r="H3" s="1" t="str">
        <f>IF(OR(ABS(F3)&lt;=CONFIG!$B$5,G3&lt;=CONFIG!$B$5),"✓","→")</f>
        <v>→</v>
      </c>
    </row>
    <row r="4" spans="1:8" x14ac:dyDescent="0.3">
      <c r="A4" s="7">
        <f>A3+1</f>
        <v>2</v>
      </c>
      <c r="B4" s="4">
        <f>IF(E3*F3&lt;0,B3,D3)</f>
        <v>-1.5</v>
      </c>
      <c r="C4" s="4">
        <f>IF(E3*F3&lt;0,D3,C3)</f>
        <v>-1</v>
      </c>
      <c r="D4" s="4">
        <f>(B4+C4)/2</f>
        <v>-1.25</v>
      </c>
      <c r="E4" s="4">
        <f>B4^3 - B4^2*EXP(-0.5*B4) - 3*B4 + 1</f>
        <v>-2.6382500373785192</v>
      </c>
      <c r="F4" s="4">
        <f>D4^3 - D4^2*EXP(-0.5*D4) - 3*D4 + 1</f>
        <v>-0.12225930848784738</v>
      </c>
      <c r="G4" s="4">
        <f>ABS(C4-B4)/2</f>
        <v>0.25</v>
      </c>
      <c r="H4" s="1" t="str">
        <f>IF(OR(ABS(F4)&lt;=CONFIG!$B$5,G4&lt;=CONFIG!$B$5),"✓","→")</f>
        <v>→</v>
      </c>
    </row>
    <row r="5" spans="1:8" x14ac:dyDescent="0.3">
      <c r="A5" s="7">
        <f t="shared" ref="A5:A10" si="0">A4+1</f>
        <v>3</v>
      </c>
      <c r="B5" s="4">
        <f t="shared" ref="B5:B23" si="1">IF(E4*F4&lt;0,B4,D4)</f>
        <v>-1.25</v>
      </c>
      <c r="C5" s="4">
        <f t="shared" ref="C5:C23" si="2">IF(E4*F4&lt;0,D4,C4)</f>
        <v>-1</v>
      </c>
      <c r="D5" s="4">
        <f t="shared" ref="D5:D23" si="3">(B5+C5)/2</f>
        <v>-1.125</v>
      </c>
      <c r="E5" s="4">
        <f t="shared" ref="E5:E23" si="4">B5^3 - B5^2*EXP(-0.5*B5) - 3*B5 + 1</f>
        <v>-0.12225930848784738</v>
      </c>
      <c r="F5" s="4">
        <f t="shared" ref="F5:F23" si="5">D5^3 - D5^2*EXP(-0.5*D5) - 3*D5 + 1</f>
        <v>0.72993082478462235</v>
      </c>
      <c r="G5" s="4">
        <f t="shared" ref="G5:G23" si="6">ABS(C5-B5)/2</f>
        <v>0.125</v>
      </c>
      <c r="H5" s="1" t="str">
        <f>IF(OR(ABS(F5)&lt;=CONFIG!$B$5,G5&lt;=CONFIG!$B$5),"✓","→")</f>
        <v>→</v>
      </c>
    </row>
    <row r="6" spans="1:8" x14ac:dyDescent="0.3">
      <c r="A6" s="7">
        <f t="shared" si="0"/>
        <v>4</v>
      </c>
      <c r="B6" s="4">
        <f t="shared" si="1"/>
        <v>-1.25</v>
      </c>
      <c r="C6" s="4">
        <f t="shared" si="2"/>
        <v>-1.125</v>
      </c>
      <c r="D6" s="4">
        <f t="shared" si="3"/>
        <v>-1.1875</v>
      </c>
      <c r="E6" s="4">
        <f t="shared" si="4"/>
        <v>-0.12225930848784738</v>
      </c>
      <c r="F6" s="4">
        <f t="shared" si="5"/>
        <v>0.33447635923789498</v>
      </c>
      <c r="G6" s="4">
        <f t="shared" si="6"/>
        <v>6.25E-2</v>
      </c>
      <c r="H6" s="1" t="str">
        <f>IF(OR(ABS(F6)&lt;=CONFIG!$B$5,G6&lt;=CONFIG!$B$5),"✓","→")</f>
        <v>→</v>
      </c>
    </row>
    <row r="7" spans="1:8" x14ac:dyDescent="0.3">
      <c r="A7" s="7">
        <f t="shared" si="0"/>
        <v>5</v>
      </c>
      <c r="B7" s="4">
        <f t="shared" si="1"/>
        <v>-1.25</v>
      </c>
      <c r="C7" s="4">
        <f t="shared" si="2"/>
        <v>-1.1875</v>
      </c>
      <c r="D7" s="4">
        <f t="shared" si="3"/>
        <v>-1.21875</v>
      </c>
      <c r="E7" s="4">
        <f t="shared" si="4"/>
        <v>-0.12225930848784738</v>
      </c>
      <c r="F7" s="4">
        <f t="shared" si="5"/>
        <v>0.11399815032026517</v>
      </c>
      <c r="G7" s="4">
        <f t="shared" si="6"/>
        <v>3.125E-2</v>
      </c>
      <c r="H7" s="1" t="str">
        <f>IF(OR(ABS(F7)&lt;=CONFIG!$B$5,G7&lt;=CONFIG!$B$5),"✓","→")</f>
        <v>→</v>
      </c>
    </row>
    <row r="8" spans="1:8" x14ac:dyDescent="0.3">
      <c r="A8" s="7">
        <f t="shared" si="0"/>
        <v>6</v>
      </c>
      <c r="B8" s="4">
        <f t="shared" si="1"/>
        <v>-1.25</v>
      </c>
      <c r="C8" s="4">
        <f t="shared" si="2"/>
        <v>-1.21875</v>
      </c>
      <c r="D8" s="4">
        <f t="shared" si="3"/>
        <v>-1.234375</v>
      </c>
      <c r="E8" s="4">
        <f t="shared" si="4"/>
        <v>-0.12225930848784738</v>
      </c>
      <c r="F8" s="4">
        <f t="shared" si="5"/>
        <v>-2.1290798148916323E-3</v>
      </c>
      <c r="G8" s="4">
        <f t="shared" si="6"/>
        <v>1.5625E-2</v>
      </c>
      <c r="H8" s="1" t="str">
        <f>IF(OR(ABS(F8)&lt;=CONFIG!$B$5,G8&lt;=CONFIG!$B$5),"✓","→")</f>
        <v>→</v>
      </c>
    </row>
    <row r="9" spans="1:8" x14ac:dyDescent="0.3">
      <c r="A9" s="7">
        <f t="shared" si="0"/>
        <v>7</v>
      </c>
      <c r="B9" s="4">
        <f t="shared" si="1"/>
        <v>-1.234375</v>
      </c>
      <c r="C9" s="4">
        <f t="shared" si="2"/>
        <v>-1.21875</v>
      </c>
      <c r="D9" s="4">
        <f t="shared" si="3"/>
        <v>-1.2265625</v>
      </c>
      <c r="E9" s="4">
        <f t="shared" si="4"/>
        <v>-2.1290798148916323E-3</v>
      </c>
      <c r="F9" s="4">
        <f t="shared" si="5"/>
        <v>5.6431254909981021E-2</v>
      </c>
      <c r="G9" s="4">
        <f t="shared" si="6"/>
        <v>7.8125E-3</v>
      </c>
      <c r="H9" s="1" t="str">
        <f>IF(OR(ABS(F9)&lt;=CONFIG!$B$5,G9&lt;=CONFIG!$B$5),"✓","→")</f>
        <v>→</v>
      </c>
    </row>
    <row r="10" spans="1:8" x14ac:dyDescent="0.3">
      <c r="A10" s="7">
        <f t="shared" si="0"/>
        <v>8</v>
      </c>
      <c r="B10" s="4">
        <f t="shared" si="1"/>
        <v>-1.234375</v>
      </c>
      <c r="C10" s="4">
        <f t="shared" si="2"/>
        <v>-1.2265625</v>
      </c>
      <c r="D10" s="4">
        <f t="shared" si="3"/>
        <v>-1.23046875</v>
      </c>
      <c r="E10" s="4">
        <f t="shared" si="4"/>
        <v>-2.1290798148916323E-3</v>
      </c>
      <c r="F10" s="4">
        <f t="shared" si="5"/>
        <v>2.7275723191040768E-2</v>
      </c>
      <c r="G10" s="4">
        <f t="shared" si="6"/>
        <v>3.90625E-3</v>
      </c>
      <c r="H10" s="1" t="str">
        <f>IF(OR(ABS(F10)&lt;=CONFIG!$B$5,G10&lt;=CONFIG!$B$5),"✓","→")</f>
        <v>→</v>
      </c>
    </row>
    <row r="11" spans="1:8" x14ac:dyDescent="0.3">
      <c r="A11" s="7">
        <f t="shared" ref="A11:A23" si="7">A10+1</f>
        <v>9</v>
      </c>
      <c r="B11" s="4">
        <f t="shared" si="1"/>
        <v>-1.234375</v>
      </c>
      <c r="C11" s="4">
        <f t="shared" si="2"/>
        <v>-1.23046875</v>
      </c>
      <c r="D11" s="4">
        <f t="shared" si="3"/>
        <v>-1.232421875</v>
      </c>
      <c r="E11" s="4">
        <f t="shared" si="4"/>
        <v>-2.1290798148916323E-3</v>
      </c>
      <c r="F11" s="4">
        <f t="shared" si="5"/>
        <v>1.2604537666828897E-2</v>
      </c>
      <c r="G11" s="4">
        <f t="shared" si="6"/>
        <v>1.953125E-3</v>
      </c>
      <c r="H11" s="1" t="str">
        <f>IF(OR(ABS(F11)&lt;=CONFIG!$B$5,G11&lt;=CONFIG!$B$5),"✓","→")</f>
        <v>→</v>
      </c>
    </row>
    <row r="12" spans="1:8" x14ac:dyDescent="0.3">
      <c r="A12" s="7">
        <f t="shared" si="7"/>
        <v>10</v>
      </c>
      <c r="B12" s="4">
        <f t="shared" si="1"/>
        <v>-1.234375</v>
      </c>
      <c r="C12" s="4">
        <f t="shared" si="2"/>
        <v>-1.232421875</v>
      </c>
      <c r="D12" s="4">
        <f t="shared" si="3"/>
        <v>-1.2333984375</v>
      </c>
      <c r="E12" s="4">
        <f t="shared" si="4"/>
        <v>-2.1290798148916323E-3</v>
      </c>
      <c r="F12" s="4">
        <f t="shared" si="5"/>
        <v>5.2455400605149194E-3</v>
      </c>
      <c r="G12" s="4">
        <f t="shared" si="6"/>
        <v>9.765625E-4</v>
      </c>
      <c r="H12" s="1" t="str">
        <f>IF(OR(ABS(F12)&lt;=CONFIG!$B$5,G12&lt;=CONFIG!$B$5),"✓","→")</f>
        <v>→</v>
      </c>
    </row>
    <row r="13" spans="1:8" x14ac:dyDescent="0.3">
      <c r="A13" s="7">
        <f t="shared" si="7"/>
        <v>11</v>
      </c>
      <c r="B13" s="4">
        <f t="shared" si="1"/>
        <v>-1.234375</v>
      </c>
      <c r="C13" s="4">
        <f t="shared" si="2"/>
        <v>-1.2333984375</v>
      </c>
      <c r="D13" s="4">
        <f t="shared" si="3"/>
        <v>-1.23388671875</v>
      </c>
      <c r="E13" s="4">
        <f t="shared" si="4"/>
        <v>-2.1290798148916323E-3</v>
      </c>
      <c r="F13" s="4">
        <f t="shared" si="5"/>
        <v>1.5601837993290957E-3</v>
      </c>
      <c r="G13" s="4">
        <f t="shared" si="6"/>
        <v>4.8828125E-4</v>
      </c>
      <c r="H13" s="1" t="str">
        <f>IF(OR(ABS(F13)&lt;=CONFIG!$B$5,G13&lt;=CONFIG!$B$5),"✓","→")</f>
        <v>→</v>
      </c>
    </row>
    <row r="14" spans="1:8" x14ac:dyDescent="0.3">
      <c r="A14" s="7">
        <f t="shared" si="7"/>
        <v>12</v>
      </c>
      <c r="B14" s="4">
        <f t="shared" si="1"/>
        <v>-1.234375</v>
      </c>
      <c r="C14" s="4">
        <f t="shared" si="2"/>
        <v>-1.23388671875</v>
      </c>
      <c r="D14" s="4">
        <f t="shared" si="3"/>
        <v>-1.234130859375</v>
      </c>
      <c r="E14" s="4">
        <f t="shared" si="4"/>
        <v>-2.1290798148916323E-3</v>
      </c>
      <c r="F14" s="4">
        <f t="shared" si="5"/>
        <v>-2.8395947701653768E-4</v>
      </c>
      <c r="G14" s="4">
        <f t="shared" si="6"/>
        <v>2.44140625E-4</v>
      </c>
      <c r="H14" s="1" t="str">
        <f>IF(OR(ABS(F14)&lt;=CONFIG!$B$5,G14&lt;=CONFIG!$B$5),"✓","→")</f>
        <v>→</v>
      </c>
    </row>
    <row r="15" spans="1:8" x14ac:dyDescent="0.3">
      <c r="A15" s="7">
        <f t="shared" si="7"/>
        <v>13</v>
      </c>
      <c r="B15" s="4">
        <f t="shared" si="1"/>
        <v>-1.234130859375</v>
      </c>
      <c r="C15" s="4">
        <f t="shared" si="2"/>
        <v>-1.23388671875</v>
      </c>
      <c r="D15" s="4">
        <f t="shared" si="3"/>
        <v>-1.2340087890625</v>
      </c>
      <c r="E15" s="4">
        <f t="shared" si="4"/>
        <v>-2.8395947701653768E-4</v>
      </c>
      <c r="F15" s="4">
        <f t="shared" si="5"/>
        <v>6.3823427989184722E-4</v>
      </c>
      <c r="G15" s="4">
        <f t="shared" si="6"/>
        <v>1.220703125E-4</v>
      </c>
      <c r="H15" s="1" t="str">
        <f>IF(OR(ABS(F15)&lt;=CONFIG!$B$5,G15&lt;=CONFIG!$B$5),"✓","→")</f>
        <v>→</v>
      </c>
    </row>
    <row r="16" spans="1:8" x14ac:dyDescent="0.3">
      <c r="A16" s="7">
        <f t="shared" si="7"/>
        <v>14</v>
      </c>
      <c r="B16" s="4">
        <f t="shared" si="1"/>
        <v>-1.234130859375</v>
      </c>
      <c r="C16" s="4">
        <f t="shared" si="2"/>
        <v>-1.2340087890625</v>
      </c>
      <c r="D16" s="4">
        <f t="shared" si="3"/>
        <v>-1.23406982421875</v>
      </c>
      <c r="E16" s="4">
        <f t="shared" si="4"/>
        <v>-2.8395947701653768E-4</v>
      </c>
      <c r="F16" s="4">
        <f t="shared" si="5"/>
        <v>1.771679328657072E-4</v>
      </c>
      <c r="G16" s="4">
        <f t="shared" si="6"/>
        <v>6.103515625E-5</v>
      </c>
      <c r="H16" s="1" t="str">
        <f>IF(OR(ABS(F16)&lt;=CONFIG!$B$5,G16&lt;=CONFIG!$B$5),"✓","→")</f>
        <v>→</v>
      </c>
    </row>
    <row r="17" spans="1:8" x14ac:dyDescent="0.3">
      <c r="A17" s="7">
        <f t="shared" si="7"/>
        <v>15</v>
      </c>
      <c r="B17" s="4">
        <f t="shared" si="1"/>
        <v>-1.234130859375</v>
      </c>
      <c r="C17" s="4">
        <f t="shared" si="2"/>
        <v>-1.23406982421875</v>
      </c>
      <c r="D17" s="4">
        <f t="shared" si="3"/>
        <v>-1.234100341796875</v>
      </c>
      <c r="E17" s="4">
        <f t="shared" si="4"/>
        <v>-2.8395947701653768E-4</v>
      </c>
      <c r="F17" s="4">
        <f t="shared" si="5"/>
        <v>-5.3388139001242507E-5</v>
      </c>
      <c r="G17" s="4">
        <f t="shared" si="6"/>
        <v>3.0517578125E-5</v>
      </c>
      <c r="H17" s="1" t="str">
        <f>IF(OR(ABS(F17)&lt;=CONFIG!$B$5,G17&lt;=CONFIG!$B$5),"✓","→")</f>
        <v>→</v>
      </c>
    </row>
    <row r="18" spans="1:8" x14ac:dyDescent="0.3">
      <c r="A18" s="7">
        <f t="shared" si="7"/>
        <v>16</v>
      </c>
      <c r="B18" s="4">
        <f t="shared" si="1"/>
        <v>-1.234100341796875</v>
      </c>
      <c r="C18" s="4">
        <f t="shared" si="2"/>
        <v>-1.23406982421875</v>
      </c>
      <c r="D18" s="4">
        <f t="shared" si="3"/>
        <v>-1.2340850830078125</v>
      </c>
      <c r="E18" s="4">
        <f t="shared" si="4"/>
        <v>-5.3388139001242507E-5</v>
      </c>
      <c r="F18" s="4">
        <f t="shared" si="5"/>
        <v>6.1891805174241199E-5</v>
      </c>
      <c r="G18" s="4">
        <f t="shared" si="6"/>
        <v>1.52587890625E-5</v>
      </c>
      <c r="H18" s="1" t="str">
        <f>IF(OR(ABS(F18)&lt;=CONFIG!$B$5,G18&lt;=CONFIG!$B$5),"✓","→")</f>
        <v>→</v>
      </c>
    </row>
    <row r="19" spans="1:8" x14ac:dyDescent="0.3">
      <c r="A19" s="7">
        <f t="shared" si="7"/>
        <v>17</v>
      </c>
      <c r="B19" s="4">
        <f t="shared" si="1"/>
        <v>-1.234100341796875</v>
      </c>
      <c r="C19" s="4">
        <f t="shared" si="2"/>
        <v>-1.2340850830078125</v>
      </c>
      <c r="D19" s="4">
        <f t="shared" si="3"/>
        <v>-1.2340927124023438</v>
      </c>
      <c r="E19" s="4">
        <f t="shared" si="4"/>
        <v>-5.3388139001242507E-5</v>
      </c>
      <c r="F19" s="4">
        <f t="shared" si="5"/>
        <v>4.2523101502212057E-6</v>
      </c>
      <c r="G19" s="4">
        <f t="shared" si="6"/>
        <v>7.62939453125E-6</v>
      </c>
      <c r="H19" s="1" t="str">
        <f>IF(OR(ABS(F19)&lt;=CONFIG!$B$5,G19&lt;=CONFIG!$B$5),"✓","→")</f>
        <v>→</v>
      </c>
    </row>
    <row r="20" spans="1:8" x14ac:dyDescent="0.3">
      <c r="A20" s="7">
        <f t="shared" si="7"/>
        <v>18</v>
      </c>
      <c r="B20" s="4">
        <f t="shared" si="1"/>
        <v>-1.234100341796875</v>
      </c>
      <c r="C20" s="4">
        <f t="shared" si="2"/>
        <v>-1.2340927124023438</v>
      </c>
      <c r="D20" s="4">
        <f t="shared" si="3"/>
        <v>-1.2340965270996094</v>
      </c>
      <c r="E20" s="4">
        <f t="shared" si="4"/>
        <v>-5.3388139001242507E-5</v>
      </c>
      <c r="F20" s="4">
        <f t="shared" si="5"/>
        <v>-2.4567795158247918E-5</v>
      </c>
      <c r="G20" s="4">
        <f t="shared" si="6"/>
        <v>3.814697265625E-6</v>
      </c>
      <c r="H20" s="1" t="str">
        <f>IF(OR(ABS(F20)&lt;=CONFIG!$B$5,G20&lt;=CONFIG!$B$5),"✓","→")</f>
        <v>→</v>
      </c>
    </row>
    <row r="21" spans="1:8" x14ac:dyDescent="0.3">
      <c r="A21" s="7">
        <f t="shared" si="7"/>
        <v>19</v>
      </c>
      <c r="B21" s="4">
        <f t="shared" si="1"/>
        <v>-1.2340965270996094</v>
      </c>
      <c r="C21" s="4">
        <f t="shared" si="2"/>
        <v>-1.2340927124023438</v>
      </c>
      <c r="D21" s="4">
        <f t="shared" si="3"/>
        <v>-1.2340946197509766</v>
      </c>
      <c r="E21" s="4">
        <f t="shared" si="4"/>
        <v>-2.4567795158247918E-5</v>
      </c>
      <c r="F21" s="4">
        <f t="shared" si="5"/>
        <v>-1.0157712686975628E-5</v>
      </c>
      <c r="G21" s="4">
        <f t="shared" si="6"/>
        <v>1.9073486328125E-6</v>
      </c>
      <c r="H21" s="1" t="str">
        <f>IF(OR(ABS(F21)&lt;=CONFIG!$B$5,G21&lt;=CONFIG!$B$5),"✓","→")</f>
        <v>→</v>
      </c>
    </row>
    <row r="22" spans="1:8" x14ac:dyDescent="0.3">
      <c r="A22" s="7">
        <f t="shared" si="7"/>
        <v>20</v>
      </c>
      <c r="B22" s="4">
        <f t="shared" si="1"/>
        <v>-1.2340946197509766</v>
      </c>
      <c r="C22" s="4">
        <f t="shared" si="2"/>
        <v>-1.2340927124023438</v>
      </c>
      <c r="D22" s="4">
        <f t="shared" si="3"/>
        <v>-1.2340936660766602</v>
      </c>
      <c r="E22" s="4">
        <f t="shared" si="4"/>
        <v>-1.0157712686975628E-5</v>
      </c>
      <c r="F22" s="4">
        <f t="shared" si="5"/>
        <v>-2.9526938138957348E-6</v>
      </c>
      <c r="G22" s="4">
        <f t="shared" si="6"/>
        <v>9.5367431640625E-7</v>
      </c>
      <c r="H22" s="1" t="str">
        <f>IF(OR(ABS(F22)&lt;=CONFIG!$B$5,G22&lt;=CONFIG!$B$5),"✓","→")</f>
        <v>✓</v>
      </c>
    </row>
    <row r="23" spans="1:8" x14ac:dyDescent="0.3">
      <c r="A23" s="7">
        <f t="shared" si="7"/>
        <v>21</v>
      </c>
      <c r="B23" s="4">
        <f t="shared" si="1"/>
        <v>-1.2340936660766602</v>
      </c>
      <c r="C23" s="4">
        <f t="shared" si="2"/>
        <v>-1.2340927124023438</v>
      </c>
      <c r="D23" s="4">
        <f t="shared" si="3"/>
        <v>-1.234093189239502</v>
      </c>
      <c r="E23" s="4">
        <f t="shared" si="4"/>
        <v>-2.9526938138957348E-6</v>
      </c>
      <c r="F23" s="4">
        <f t="shared" si="5"/>
        <v>6.4981003156105999E-7</v>
      </c>
      <c r="G23" s="4">
        <f t="shared" si="6"/>
        <v>4.76837158203125E-7</v>
      </c>
      <c r="H23" s="1" t="str">
        <f>IF(OR(ABS(F23)&lt;=CONFIG!$B$5,G23&lt;=CONFIG!$B$5),"✓","→")</f>
        <v>✓</v>
      </c>
    </row>
    <row r="24" spans="1:8" x14ac:dyDescent="0.3">
      <c r="A24" s="5"/>
      <c r="B24" s="4"/>
      <c r="C24" s="4"/>
      <c r="D24" s="4"/>
      <c r="E24" s="4"/>
      <c r="F24" s="4"/>
      <c r="G24" s="4"/>
      <c r="H24" s="1"/>
    </row>
    <row r="25" spans="1:8" x14ac:dyDescent="0.3">
      <c r="A25" s="5"/>
      <c r="B25" s="4"/>
      <c r="C25" s="4"/>
      <c r="D25" s="4"/>
      <c r="E25" s="4"/>
      <c r="F25" s="4"/>
      <c r="G25" s="4"/>
      <c r="H25" s="1"/>
    </row>
    <row r="26" spans="1:8" x14ac:dyDescent="0.3">
      <c r="A26" s="5"/>
      <c r="B26" s="4"/>
      <c r="C26" s="4"/>
      <c r="D26" s="4"/>
      <c r="E26" s="4"/>
      <c r="F26" s="4"/>
      <c r="G26" s="4"/>
      <c r="H26" s="1"/>
    </row>
    <row r="27" spans="1:8" x14ac:dyDescent="0.3">
      <c r="A27" s="5"/>
      <c r="B27" s="4"/>
      <c r="C27" s="4"/>
      <c r="D27" s="4"/>
      <c r="E27" s="4"/>
      <c r="F27" s="4"/>
      <c r="G27" s="4"/>
      <c r="H27" s="1"/>
    </row>
    <row r="28" spans="1:8" x14ac:dyDescent="0.3">
      <c r="A28" s="5"/>
      <c r="B28" s="4"/>
      <c r="C28" s="4"/>
      <c r="D28" s="4"/>
      <c r="E28" s="4"/>
      <c r="F28" s="4"/>
      <c r="G28" s="4"/>
      <c r="H28" s="1"/>
    </row>
    <row r="29" spans="1:8" x14ac:dyDescent="0.3">
      <c r="A29" s="5"/>
      <c r="B29" s="4"/>
      <c r="C29" s="4"/>
      <c r="D29" s="4"/>
      <c r="E29" s="4"/>
      <c r="F29" s="4"/>
      <c r="G29" s="4"/>
      <c r="H29" s="1"/>
    </row>
    <row r="30" spans="1:8" x14ac:dyDescent="0.3">
      <c r="A30" s="5"/>
      <c r="B30" s="4"/>
      <c r="C30" s="4"/>
      <c r="D30" s="4"/>
      <c r="E30" s="4"/>
      <c r="F30" s="4"/>
      <c r="G30" s="4"/>
      <c r="H30" s="1"/>
    </row>
    <row r="31" spans="1:8" x14ac:dyDescent="0.3">
      <c r="A31" s="5"/>
      <c r="B31" s="4"/>
      <c r="C31" s="4"/>
      <c r="D31" s="4"/>
      <c r="E31" s="4"/>
      <c r="F31" s="4"/>
      <c r="G31" s="4"/>
      <c r="H31" s="1"/>
    </row>
    <row r="32" spans="1:8" x14ac:dyDescent="0.3">
      <c r="A32" s="5"/>
      <c r="B32" s="4"/>
      <c r="C32" s="4"/>
      <c r="D32" s="4"/>
      <c r="E32" s="4"/>
      <c r="F32" s="4"/>
      <c r="G32" s="4"/>
      <c r="H32" s="1"/>
    </row>
    <row r="33" spans="1:8" x14ac:dyDescent="0.3">
      <c r="A33" s="5"/>
      <c r="B33" s="4"/>
      <c r="C33" s="4"/>
      <c r="D33" s="4"/>
      <c r="E33" s="4"/>
      <c r="F33" s="4"/>
      <c r="G33" s="4"/>
      <c r="H33" s="1"/>
    </row>
    <row r="34" spans="1:8" x14ac:dyDescent="0.3">
      <c r="A34" s="5"/>
      <c r="B34" s="4"/>
      <c r="C34" s="4"/>
      <c r="D34" s="4"/>
      <c r="E34" s="4"/>
      <c r="F34" s="4"/>
      <c r="G34" s="4"/>
      <c r="H34" s="1"/>
    </row>
    <row r="35" spans="1:8" x14ac:dyDescent="0.3">
      <c r="A35" s="5"/>
      <c r="B35" s="4"/>
      <c r="C35" s="4"/>
      <c r="D35" s="4"/>
      <c r="E35" s="4"/>
      <c r="F35" s="4"/>
      <c r="G35" s="4"/>
      <c r="H35" s="1"/>
    </row>
    <row r="36" spans="1:8" x14ac:dyDescent="0.3">
      <c r="A36" s="5"/>
      <c r="B36" s="4"/>
      <c r="C36" s="4"/>
      <c r="D36" s="4"/>
      <c r="E36" s="4"/>
      <c r="F36" s="4"/>
      <c r="G36" s="4"/>
      <c r="H36" s="1"/>
    </row>
    <row r="37" spans="1:8" x14ac:dyDescent="0.3">
      <c r="A37" s="5"/>
      <c r="B37" s="4"/>
      <c r="C37" s="4"/>
      <c r="D37" s="4"/>
      <c r="E37" s="4"/>
      <c r="F37" s="4"/>
      <c r="G37" s="4"/>
      <c r="H37" s="1"/>
    </row>
    <row r="38" spans="1:8" x14ac:dyDescent="0.3">
      <c r="A38" s="5"/>
      <c r="B38" s="4"/>
      <c r="C38" s="4"/>
      <c r="D38" s="4"/>
      <c r="E38" s="4"/>
      <c r="F38" s="4"/>
      <c r="G38" s="4"/>
      <c r="H38" s="1"/>
    </row>
    <row r="39" spans="1:8" x14ac:dyDescent="0.3">
      <c r="A39" s="5"/>
      <c r="B39" s="4"/>
      <c r="C39" s="4"/>
      <c r="D39" s="4"/>
      <c r="E39" s="4"/>
      <c r="F39" s="4"/>
      <c r="G39" s="4"/>
      <c r="H39" s="1"/>
    </row>
    <row r="40" spans="1:8" x14ac:dyDescent="0.3">
      <c r="A40" s="5"/>
      <c r="B40" s="4"/>
      <c r="C40" s="4"/>
      <c r="D40" s="4"/>
      <c r="E40" s="4"/>
      <c r="F40" s="4"/>
      <c r="G40" s="4"/>
      <c r="H40" s="1"/>
    </row>
    <row r="41" spans="1:8" x14ac:dyDescent="0.3">
      <c r="A41" s="5"/>
      <c r="B41" s="4"/>
      <c r="C41" s="4"/>
      <c r="D41" s="4"/>
      <c r="E41" s="4"/>
      <c r="F41" s="4"/>
      <c r="G41" s="4"/>
      <c r="H41" s="1"/>
    </row>
    <row r="42" spans="1:8" x14ac:dyDescent="0.3">
      <c r="A42" s="5"/>
      <c r="B42" s="4"/>
      <c r="C42" s="4"/>
      <c r="D42" s="4"/>
      <c r="E42" s="4"/>
      <c r="F42" s="4"/>
      <c r="G42" s="4"/>
      <c r="H42" s="1"/>
    </row>
    <row r="43" spans="1:8" x14ac:dyDescent="0.3">
      <c r="A43" s="5"/>
      <c r="B43" s="4"/>
      <c r="C43" s="4"/>
      <c r="D43" s="4"/>
      <c r="E43" s="4"/>
      <c r="F43" s="4"/>
      <c r="G43" s="4"/>
      <c r="H43" s="1"/>
    </row>
    <row r="44" spans="1:8" x14ac:dyDescent="0.3">
      <c r="A44" s="5"/>
      <c r="B44" s="4"/>
      <c r="C44" s="4"/>
      <c r="D44" s="4"/>
      <c r="E44" s="4"/>
      <c r="F44" s="4"/>
      <c r="G44" s="4"/>
      <c r="H44" s="1"/>
    </row>
    <row r="45" spans="1:8" x14ac:dyDescent="0.3">
      <c r="A45" s="5"/>
      <c r="B45" s="4"/>
      <c r="C45" s="4"/>
      <c r="D45" s="4"/>
      <c r="E45" s="4"/>
      <c r="F45" s="4"/>
      <c r="G45" s="4"/>
      <c r="H45" s="1"/>
    </row>
    <row r="46" spans="1:8" x14ac:dyDescent="0.3">
      <c r="A46" s="5"/>
      <c r="B46" s="4"/>
      <c r="C46" s="4"/>
      <c r="D46" s="4"/>
      <c r="E46" s="4"/>
      <c r="F46" s="4"/>
      <c r="G46" s="4"/>
      <c r="H46" s="1"/>
    </row>
    <row r="47" spans="1:8" x14ac:dyDescent="0.3">
      <c r="A47" s="5"/>
      <c r="B47" s="4"/>
      <c r="C47" s="4"/>
      <c r="D47" s="4"/>
      <c r="E47" s="4"/>
      <c r="F47" s="4"/>
      <c r="G47" s="4"/>
      <c r="H47" s="1"/>
    </row>
    <row r="48" spans="1:8" x14ac:dyDescent="0.3">
      <c r="A48" s="5"/>
      <c r="B48" s="4"/>
      <c r="C48" s="4"/>
      <c r="D48" s="4"/>
      <c r="E48" s="4"/>
      <c r="F48" s="4"/>
      <c r="G48" s="4"/>
      <c r="H48" s="1"/>
    </row>
    <row r="49" spans="1:8" x14ac:dyDescent="0.3">
      <c r="A49" s="5"/>
      <c r="B49" s="4"/>
      <c r="C49" s="4"/>
      <c r="D49" s="4"/>
      <c r="E49" s="4"/>
      <c r="F49" s="4"/>
      <c r="G49" s="4"/>
      <c r="H49" s="1"/>
    </row>
    <row r="50" spans="1:8" x14ac:dyDescent="0.3">
      <c r="A50" s="5"/>
      <c r="B50" s="4"/>
      <c r="C50" s="4"/>
      <c r="D50" s="4"/>
      <c r="E50" s="4"/>
      <c r="F50" s="4"/>
      <c r="G50" s="4"/>
      <c r="H50" s="1"/>
    </row>
    <row r="51" spans="1:8" x14ac:dyDescent="0.3">
      <c r="A51" s="5"/>
      <c r="B51" s="4"/>
      <c r="C51" s="4"/>
      <c r="D51" s="4"/>
      <c r="E51" s="4"/>
      <c r="F51" s="4"/>
      <c r="G51" s="4"/>
      <c r="H51" s="1"/>
    </row>
    <row r="52" spans="1:8" x14ac:dyDescent="0.3">
      <c r="A52" s="5"/>
      <c r="B52" s="4"/>
      <c r="C52" s="4"/>
      <c r="D52" s="4"/>
      <c r="E52" s="4"/>
      <c r="F52" s="4"/>
      <c r="G52" s="4"/>
      <c r="H52" s="1"/>
    </row>
    <row r="53" spans="1:8" x14ac:dyDescent="0.3">
      <c r="A53" s="5"/>
      <c r="B53" s="4"/>
      <c r="C53" s="4"/>
      <c r="D53" s="4"/>
      <c r="E53" s="4"/>
      <c r="F53" s="4"/>
      <c r="G53" s="4"/>
      <c r="H53" s="1"/>
    </row>
    <row r="54" spans="1:8" x14ac:dyDescent="0.3">
      <c r="A54" s="5"/>
      <c r="B54" s="4"/>
      <c r="C54" s="4"/>
      <c r="D54" s="4"/>
      <c r="E54" s="4"/>
      <c r="F54" s="4"/>
      <c r="G54" s="4"/>
      <c r="H54" s="1"/>
    </row>
    <row r="55" spans="1:8" x14ac:dyDescent="0.3">
      <c r="A55" s="5"/>
      <c r="B55" s="4"/>
      <c r="C55" s="4"/>
      <c r="D55" s="4"/>
      <c r="E55" s="4"/>
      <c r="F55" s="4"/>
      <c r="G55" s="4"/>
      <c r="H55" s="1"/>
    </row>
    <row r="56" spans="1:8" x14ac:dyDescent="0.3">
      <c r="A56" s="5"/>
      <c r="B56" s="4"/>
      <c r="C56" s="4"/>
      <c r="D56" s="4"/>
      <c r="E56" s="4"/>
      <c r="F56" s="4"/>
      <c r="G56" s="4"/>
      <c r="H56" s="1"/>
    </row>
    <row r="57" spans="1:8" x14ac:dyDescent="0.3">
      <c r="A57" s="5"/>
      <c r="B57" s="4"/>
      <c r="C57" s="4"/>
      <c r="D57" s="4"/>
      <c r="E57" s="4"/>
      <c r="F57" s="4"/>
      <c r="G57" s="4"/>
      <c r="H57" s="1"/>
    </row>
    <row r="58" spans="1:8" x14ac:dyDescent="0.3">
      <c r="A58" s="5"/>
      <c r="B58" s="4"/>
      <c r="C58" s="4"/>
      <c r="D58" s="4"/>
      <c r="E58" s="4"/>
      <c r="F58" s="4"/>
      <c r="G58" s="4"/>
      <c r="H58" s="1"/>
    </row>
    <row r="59" spans="1:8" x14ac:dyDescent="0.3">
      <c r="A59" s="5"/>
      <c r="B59" s="4"/>
      <c r="C59" s="4"/>
      <c r="D59" s="4"/>
      <c r="E59" s="4"/>
      <c r="F59" s="4"/>
      <c r="G59" s="4"/>
      <c r="H59" s="1"/>
    </row>
    <row r="60" spans="1:8" x14ac:dyDescent="0.3">
      <c r="A60" s="5"/>
      <c r="B60" s="4"/>
      <c r="C60" s="4"/>
      <c r="D60" s="4"/>
      <c r="E60" s="4"/>
      <c r="F60" s="4"/>
      <c r="G60" s="4"/>
      <c r="H60" s="1"/>
    </row>
    <row r="61" spans="1:8" x14ac:dyDescent="0.3">
      <c r="A61" s="5"/>
      <c r="B61" s="4"/>
      <c r="C61" s="4"/>
      <c r="D61" s="4"/>
      <c r="E61" s="4"/>
      <c r="F61" s="4"/>
      <c r="G61" s="4"/>
      <c r="H61" s="1"/>
    </row>
    <row r="62" spans="1:8" x14ac:dyDescent="0.3">
      <c r="A62" s="5"/>
      <c r="B62" s="4"/>
      <c r="C62" s="4"/>
      <c r="D62" s="4"/>
      <c r="E62" s="4"/>
      <c r="F62" s="4"/>
      <c r="G62" s="4"/>
      <c r="H62" s="1"/>
    </row>
    <row r="63" spans="1:8" x14ac:dyDescent="0.3">
      <c r="A63" s="5"/>
      <c r="B63" s="4"/>
      <c r="C63" s="4"/>
      <c r="D63" s="4"/>
      <c r="E63" s="4"/>
      <c r="F63" s="4"/>
      <c r="G63" s="4"/>
      <c r="H63" s="1"/>
    </row>
    <row r="64" spans="1:8" x14ac:dyDescent="0.3">
      <c r="A64" s="5"/>
      <c r="B64" s="4"/>
      <c r="C64" s="4"/>
      <c r="D64" s="4"/>
      <c r="E64" s="4"/>
      <c r="F64" s="4"/>
      <c r="G64" s="4"/>
      <c r="H64" s="1"/>
    </row>
    <row r="65" spans="1:8" x14ac:dyDescent="0.3">
      <c r="A65" s="5"/>
      <c r="B65" s="4"/>
      <c r="C65" s="4"/>
      <c r="D65" s="4"/>
      <c r="E65" s="4"/>
      <c r="F65" s="4"/>
      <c r="G65" s="4"/>
      <c r="H65" s="1"/>
    </row>
    <row r="66" spans="1:8" x14ac:dyDescent="0.3">
      <c r="A66" s="5"/>
      <c r="B66" s="4"/>
      <c r="C66" s="4"/>
      <c r="D66" s="4"/>
      <c r="E66" s="4"/>
      <c r="F66" s="4"/>
      <c r="G66" s="4"/>
      <c r="H66" s="1"/>
    </row>
    <row r="67" spans="1:8" x14ac:dyDescent="0.3">
      <c r="A67" s="5"/>
      <c r="B67" s="4"/>
      <c r="C67" s="4"/>
      <c r="D67" s="4"/>
      <c r="E67" s="4"/>
      <c r="F67" s="4"/>
      <c r="G67" s="4"/>
      <c r="H67" s="1"/>
    </row>
    <row r="68" spans="1:8" x14ac:dyDescent="0.3">
      <c r="A68" s="5"/>
      <c r="B68" s="4"/>
      <c r="C68" s="4"/>
      <c r="D68" s="4"/>
      <c r="E68" s="4"/>
      <c r="F68" s="4"/>
      <c r="G68" s="4"/>
      <c r="H68" s="1"/>
    </row>
    <row r="69" spans="1:8" x14ac:dyDescent="0.3">
      <c r="A69" s="5"/>
      <c r="B69" s="4"/>
      <c r="C69" s="4"/>
      <c r="D69" s="4"/>
      <c r="E69" s="4"/>
      <c r="F69" s="4"/>
      <c r="G69" s="4"/>
      <c r="H69" s="1"/>
    </row>
    <row r="70" spans="1:8" x14ac:dyDescent="0.3">
      <c r="A70" s="5"/>
      <c r="B70" s="4"/>
      <c r="C70" s="4"/>
      <c r="D70" s="4"/>
      <c r="E70" s="4"/>
      <c r="F70" s="4"/>
      <c r="G70" s="4"/>
      <c r="H70" s="1"/>
    </row>
    <row r="71" spans="1:8" x14ac:dyDescent="0.3">
      <c r="A71" s="5"/>
      <c r="B71" s="4"/>
      <c r="C71" s="4"/>
      <c r="D71" s="4"/>
      <c r="E71" s="4"/>
      <c r="F71" s="4"/>
      <c r="G71" s="4"/>
      <c r="H71" s="1"/>
    </row>
    <row r="72" spans="1:8" x14ac:dyDescent="0.3">
      <c r="A72" s="5"/>
      <c r="B72" s="4"/>
      <c r="C72" s="4"/>
      <c r="D72" s="4"/>
      <c r="E72" s="4"/>
      <c r="F72" s="4"/>
      <c r="G72" s="4"/>
      <c r="H72" s="1"/>
    </row>
    <row r="73" spans="1:8" x14ac:dyDescent="0.3">
      <c r="A73" s="5"/>
      <c r="B73" s="4"/>
      <c r="C73" s="4"/>
      <c r="D73" s="4"/>
      <c r="E73" s="4"/>
      <c r="F73" s="4"/>
      <c r="G73" s="4"/>
      <c r="H73" s="1"/>
    </row>
    <row r="74" spans="1:8" x14ac:dyDescent="0.3">
      <c r="A74" s="5"/>
      <c r="B74" s="4"/>
      <c r="C74" s="4"/>
      <c r="D74" s="4"/>
      <c r="E74" s="4"/>
      <c r="F74" s="4"/>
      <c r="G74" s="4"/>
      <c r="H74" s="1"/>
    </row>
    <row r="75" spans="1:8" x14ac:dyDescent="0.3">
      <c r="A75" s="5"/>
      <c r="B75" s="4"/>
      <c r="C75" s="4"/>
      <c r="D75" s="4"/>
      <c r="E75" s="4"/>
      <c r="F75" s="4"/>
      <c r="G75" s="4"/>
      <c r="H75" s="1"/>
    </row>
    <row r="76" spans="1:8" x14ac:dyDescent="0.3">
      <c r="A76" s="5"/>
      <c r="B76" s="4"/>
      <c r="C76" s="4"/>
      <c r="D76" s="4"/>
      <c r="E76" s="4"/>
      <c r="F76" s="4"/>
      <c r="G76" s="4"/>
      <c r="H76" s="1"/>
    </row>
    <row r="77" spans="1:8" x14ac:dyDescent="0.3">
      <c r="A77" s="5"/>
      <c r="B77" s="4"/>
      <c r="C77" s="4"/>
      <c r="D77" s="4"/>
      <c r="E77" s="4"/>
      <c r="F77" s="4"/>
      <c r="G77" s="4"/>
      <c r="H77" s="1"/>
    </row>
    <row r="78" spans="1:8" x14ac:dyDescent="0.3">
      <c r="A78" s="5"/>
      <c r="B78" s="4"/>
      <c r="C78" s="4"/>
      <c r="D78" s="4"/>
      <c r="E78" s="4"/>
      <c r="F78" s="4"/>
      <c r="G78" s="4"/>
      <c r="H78" s="1"/>
    </row>
    <row r="79" spans="1:8" x14ac:dyDescent="0.3">
      <c r="A79" s="5"/>
      <c r="B79" s="4"/>
      <c r="C79" s="4"/>
      <c r="D79" s="4"/>
      <c r="E79" s="4"/>
      <c r="F79" s="4"/>
      <c r="G79" s="4"/>
      <c r="H79" s="1"/>
    </row>
    <row r="80" spans="1:8" x14ac:dyDescent="0.3">
      <c r="A80" s="5"/>
      <c r="B80" s="4"/>
      <c r="C80" s="4"/>
      <c r="D80" s="4"/>
      <c r="E80" s="4"/>
      <c r="F80" s="4"/>
      <c r="G80" s="4"/>
      <c r="H80" s="1"/>
    </row>
    <row r="81" spans="1:8" x14ac:dyDescent="0.3">
      <c r="A81" s="5"/>
      <c r="B81" s="4"/>
      <c r="C81" s="4"/>
      <c r="D81" s="4"/>
      <c r="E81" s="4"/>
      <c r="F81" s="4"/>
      <c r="G81" s="4"/>
      <c r="H81" s="1"/>
    </row>
    <row r="82" spans="1:8" x14ac:dyDescent="0.3">
      <c r="A82" s="5"/>
      <c r="B82" s="4"/>
      <c r="C82" s="4"/>
      <c r="D82" s="4"/>
      <c r="E82" s="4"/>
      <c r="F82" s="4"/>
      <c r="G82" s="4"/>
      <c r="H82" s="1"/>
    </row>
    <row r="83" spans="1:8" x14ac:dyDescent="0.3">
      <c r="A83" s="5"/>
      <c r="B83" s="4"/>
      <c r="C83" s="4"/>
      <c r="D83" s="4"/>
      <c r="E83" s="4"/>
      <c r="F83" s="4"/>
      <c r="G83" s="4"/>
      <c r="H83" s="1"/>
    </row>
    <row r="84" spans="1:8" x14ac:dyDescent="0.3">
      <c r="A84" s="5"/>
      <c r="B84" s="4"/>
      <c r="C84" s="4"/>
      <c r="D84" s="4"/>
      <c r="E84" s="4"/>
      <c r="F84" s="4"/>
      <c r="G84" s="4"/>
      <c r="H84" s="1"/>
    </row>
    <row r="85" spans="1:8" x14ac:dyDescent="0.3">
      <c r="A85" s="5"/>
      <c r="B85" s="4"/>
      <c r="C85" s="4"/>
      <c r="D85" s="4"/>
      <c r="E85" s="4"/>
      <c r="F85" s="4"/>
      <c r="G85" s="4"/>
      <c r="H85" s="1"/>
    </row>
    <row r="86" spans="1:8" x14ac:dyDescent="0.3">
      <c r="A86" s="5"/>
      <c r="B86" s="4"/>
      <c r="C86" s="4"/>
      <c r="D86" s="4"/>
      <c r="E86" s="4"/>
      <c r="F86" s="4"/>
      <c r="G86" s="4"/>
      <c r="H86" s="1"/>
    </row>
    <row r="87" spans="1:8" x14ac:dyDescent="0.3">
      <c r="A87" s="5"/>
      <c r="B87" s="4"/>
      <c r="C87" s="4"/>
      <c r="D87" s="4"/>
      <c r="E87" s="4"/>
      <c r="F87" s="4"/>
      <c r="G87" s="4"/>
      <c r="H87" s="1"/>
    </row>
    <row r="88" spans="1:8" x14ac:dyDescent="0.3">
      <c r="A88" s="5"/>
      <c r="B88" s="4"/>
      <c r="C88" s="4"/>
      <c r="D88" s="4"/>
      <c r="E88" s="4"/>
      <c r="F88" s="4"/>
      <c r="G88" s="4"/>
      <c r="H88" s="1"/>
    </row>
    <row r="89" spans="1:8" x14ac:dyDescent="0.3">
      <c r="A89" s="5"/>
      <c r="B89" s="4"/>
      <c r="C89" s="4"/>
      <c r="D89" s="4"/>
      <c r="E89" s="4"/>
      <c r="F89" s="4"/>
      <c r="G89" s="4"/>
      <c r="H89" s="1"/>
    </row>
    <row r="90" spans="1:8" x14ac:dyDescent="0.3">
      <c r="A90" s="5"/>
      <c r="B90" s="4"/>
      <c r="C90" s="4"/>
      <c r="D90" s="4"/>
      <c r="E90" s="4"/>
      <c r="F90" s="4"/>
      <c r="G90" s="4"/>
      <c r="H90" s="1"/>
    </row>
    <row r="91" spans="1:8" x14ac:dyDescent="0.3">
      <c r="A91" s="5"/>
      <c r="B91" s="4"/>
      <c r="C91" s="4"/>
      <c r="D91" s="4"/>
      <c r="E91" s="4"/>
      <c r="F91" s="4"/>
      <c r="G91" s="4"/>
      <c r="H91" s="1"/>
    </row>
    <row r="92" spans="1:8" x14ac:dyDescent="0.3">
      <c r="A92" s="5"/>
      <c r="B92" s="4"/>
      <c r="C92" s="4"/>
      <c r="D92" s="4"/>
      <c r="E92" s="4"/>
      <c r="F92" s="4"/>
      <c r="G92" s="4"/>
      <c r="H92" s="1"/>
    </row>
    <row r="93" spans="1:8" x14ac:dyDescent="0.3">
      <c r="A93" s="5"/>
      <c r="B93" s="4"/>
      <c r="C93" s="4"/>
      <c r="D93" s="4"/>
      <c r="E93" s="4"/>
      <c r="F93" s="4"/>
      <c r="G93" s="4"/>
      <c r="H93" s="1"/>
    </row>
    <row r="94" spans="1:8" x14ac:dyDescent="0.3">
      <c r="A94" s="5"/>
      <c r="B94" s="4"/>
      <c r="C94" s="4"/>
      <c r="D94" s="4"/>
      <c r="E94" s="4"/>
      <c r="F94" s="4"/>
      <c r="G94" s="4"/>
      <c r="H94" s="1"/>
    </row>
    <row r="95" spans="1:8" x14ac:dyDescent="0.3">
      <c r="A95" s="5"/>
      <c r="B95" s="4"/>
      <c r="C95" s="4"/>
      <c r="D95" s="4"/>
      <c r="E95" s="4"/>
      <c r="F95" s="4"/>
      <c r="G95" s="4"/>
      <c r="H95" s="1"/>
    </row>
    <row r="96" spans="1:8" x14ac:dyDescent="0.3">
      <c r="A96" s="5"/>
      <c r="B96" s="4"/>
      <c r="C96" s="4"/>
      <c r="D96" s="4"/>
      <c r="E96" s="4"/>
      <c r="F96" s="4"/>
      <c r="G96" s="4"/>
      <c r="H96" s="1"/>
    </row>
    <row r="97" spans="1:8" x14ac:dyDescent="0.3">
      <c r="A97" s="5"/>
      <c r="B97" s="4"/>
      <c r="C97" s="4"/>
      <c r="D97" s="4"/>
      <c r="E97" s="4"/>
      <c r="F97" s="4"/>
      <c r="G97" s="4"/>
      <c r="H97" s="1"/>
    </row>
    <row r="98" spans="1:8" x14ac:dyDescent="0.3">
      <c r="A98" s="5"/>
      <c r="B98" s="4"/>
      <c r="C98" s="4"/>
      <c r="D98" s="4"/>
      <c r="E98" s="4"/>
      <c r="F98" s="4"/>
      <c r="G98" s="4"/>
      <c r="H98" s="1"/>
    </row>
    <row r="99" spans="1:8" x14ac:dyDescent="0.3">
      <c r="A99" s="5"/>
      <c r="B99" s="4"/>
      <c r="C99" s="4"/>
      <c r="D99" s="4"/>
      <c r="E99" s="4"/>
      <c r="F99" s="4"/>
      <c r="G99" s="4"/>
      <c r="H99" s="1"/>
    </row>
    <row r="100" spans="1:8" x14ac:dyDescent="0.3">
      <c r="A100" s="5"/>
      <c r="B100" s="4"/>
      <c r="C100" s="4"/>
      <c r="D100" s="4"/>
      <c r="E100" s="4"/>
      <c r="F100" s="4"/>
      <c r="G100" s="4"/>
      <c r="H100" s="1"/>
    </row>
    <row r="101" spans="1:8" x14ac:dyDescent="0.3">
      <c r="A101" s="5"/>
      <c r="B101" s="4"/>
      <c r="C101" s="4"/>
      <c r="D101" s="4"/>
      <c r="E101" s="4"/>
      <c r="F101" s="4"/>
      <c r="G101" s="4"/>
      <c r="H101" s="1"/>
    </row>
    <row r="102" spans="1:8" x14ac:dyDescent="0.3">
      <c r="A102" s="5"/>
      <c r="B102" s="4"/>
      <c r="C102" s="4"/>
      <c r="D102" s="4"/>
      <c r="E102" s="4"/>
      <c r="F102" s="4"/>
      <c r="G102" s="4"/>
      <c r="H102" s="1"/>
    </row>
    <row r="103" spans="1:8" x14ac:dyDescent="0.3">
      <c r="A103" s="5"/>
      <c r="B103" s="4"/>
      <c r="C103" s="4"/>
      <c r="D103" s="4"/>
      <c r="E103" s="4"/>
      <c r="F103" s="4"/>
      <c r="G103" s="4"/>
      <c r="H103" s="1"/>
    </row>
    <row r="104" spans="1:8" x14ac:dyDescent="0.3">
      <c r="A104" s="5"/>
      <c r="B104" s="4"/>
      <c r="C104" s="4"/>
      <c r="D104" s="4"/>
      <c r="E104" s="4"/>
      <c r="F104" s="4"/>
      <c r="G104" s="4"/>
      <c r="H104" s="1"/>
    </row>
    <row r="105" spans="1:8" x14ac:dyDescent="0.3">
      <c r="A105" s="5"/>
      <c r="B105" s="4"/>
      <c r="C105" s="4"/>
      <c r="D105" s="4"/>
      <c r="E105" s="4"/>
      <c r="F105" s="4"/>
      <c r="G105" s="4"/>
      <c r="H105" s="1"/>
    </row>
    <row r="106" spans="1:8" x14ac:dyDescent="0.3">
      <c r="A106" s="5"/>
      <c r="B106" s="4"/>
      <c r="C106" s="4"/>
      <c r="D106" s="4"/>
      <c r="E106" s="4"/>
      <c r="F106" s="4"/>
      <c r="G106" s="4"/>
      <c r="H106" s="1"/>
    </row>
    <row r="107" spans="1:8" x14ac:dyDescent="0.3">
      <c r="A107" s="5"/>
      <c r="B107" s="4"/>
      <c r="C107" s="4"/>
      <c r="D107" s="4"/>
      <c r="E107" s="4"/>
      <c r="F107" s="4"/>
      <c r="G107" s="4"/>
      <c r="H107" s="1"/>
    </row>
    <row r="108" spans="1:8" x14ac:dyDescent="0.3">
      <c r="A108" s="5"/>
      <c r="B108" s="4"/>
      <c r="C108" s="4"/>
      <c r="D108" s="4"/>
      <c r="E108" s="4"/>
      <c r="F108" s="4"/>
      <c r="G108" s="4"/>
      <c r="H108" s="1"/>
    </row>
    <row r="109" spans="1:8" x14ac:dyDescent="0.3">
      <c r="A109" s="5"/>
      <c r="B109" s="4"/>
      <c r="C109" s="4"/>
      <c r="D109" s="4"/>
      <c r="E109" s="4"/>
      <c r="F109" s="4"/>
      <c r="G109" s="4"/>
      <c r="H109" s="1"/>
    </row>
    <row r="110" spans="1:8" x14ac:dyDescent="0.3">
      <c r="A110" s="5"/>
      <c r="B110" s="4"/>
      <c r="C110" s="4"/>
      <c r="D110" s="4"/>
      <c r="E110" s="4"/>
      <c r="F110" s="4"/>
      <c r="G110" s="4"/>
      <c r="H110" s="1"/>
    </row>
    <row r="111" spans="1:8" x14ac:dyDescent="0.3">
      <c r="A111" s="5"/>
      <c r="B111" s="4"/>
      <c r="C111" s="4"/>
      <c r="D111" s="4"/>
      <c r="E111" s="4"/>
      <c r="F111" s="4"/>
      <c r="G111" s="4"/>
      <c r="H111" s="1"/>
    </row>
    <row r="112" spans="1:8" x14ac:dyDescent="0.3">
      <c r="A112" s="5"/>
      <c r="B112" s="4"/>
      <c r="C112" s="4"/>
      <c r="D112" s="4"/>
      <c r="E112" s="4"/>
      <c r="F112" s="4"/>
      <c r="G112" s="4"/>
      <c r="H112" s="1"/>
    </row>
    <row r="113" spans="1:8" x14ac:dyDescent="0.3">
      <c r="A113" s="5"/>
      <c r="B113" s="4"/>
      <c r="C113" s="4"/>
      <c r="D113" s="4"/>
      <c r="E113" s="4"/>
      <c r="F113" s="4"/>
      <c r="G113" s="4"/>
      <c r="H113" s="1"/>
    </row>
    <row r="114" spans="1:8" x14ac:dyDescent="0.3">
      <c r="A114" s="5"/>
      <c r="B114" s="4"/>
      <c r="C114" s="4"/>
      <c r="D114" s="4"/>
      <c r="E114" s="4"/>
      <c r="F114" s="4"/>
      <c r="G114" s="4"/>
      <c r="H114" s="1"/>
    </row>
    <row r="115" spans="1:8" x14ac:dyDescent="0.3">
      <c r="A115" s="5"/>
      <c r="B115" s="4"/>
      <c r="C115" s="4"/>
      <c r="D115" s="4"/>
      <c r="E115" s="4"/>
      <c r="F115" s="4"/>
      <c r="G115" s="4"/>
      <c r="H115" s="1"/>
    </row>
    <row r="116" spans="1:8" x14ac:dyDescent="0.3">
      <c r="A116" s="5"/>
      <c r="B116" s="4"/>
      <c r="C116" s="4"/>
      <c r="D116" s="4"/>
      <c r="E116" s="4"/>
      <c r="F116" s="4"/>
      <c r="G116" s="4"/>
      <c r="H116" s="1"/>
    </row>
    <row r="117" spans="1:8" x14ac:dyDescent="0.3">
      <c r="A117" s="5"/>
      <c r="B117" s="4"/>
      <c r="C117" s="4"/>
      <c r="D117" s="4"/>
      <c r="E117" s="4"/>
      <c r="F117" s="4"/>
      <c r="G117" s="4"/>
      <c r="H117" s="1"/>
    </row>
    <row r="118" spans="1:8" x14ac:dyDescent="0.3">
      <c r="A118" s="5"/>
      <c r="B118" s="4"/>
      <c r="C118" s="4"/>
      <c r="D118" s="4"/>
      <c r="E118" s="4"/>
      <c r="F118" s="4"/>
      <c r="G118" s="4"/>
      <c r="H118" s="1"/>
    </row>
    <row r="119" spans="1:8" x14ac:dyDescent="0.3">
      <c r="A119" s="5"/>
      <c r="B119" s="4"/>
      <c r="C119" s="4"/>
      <c r="D119" s="4"/>
      <c r="E119" s="4"/>
      <c r="F119" s="4"/>
      <c r="G119" s="4"/>
      <c r="H119" s="1"/>
    </row>
    <row r="120" spans="1:8" x14ac:dyDescent="0.3">
      <c r="A120" s="5"/>
      <c r="B120" s="4"/>
      <c r="C120" s="4"/>
      <c r="D120" s="4"/>
      <c r="E120" s="4"/>
      <c r="F120" s="4"/>
      <c r="G120" s="4"/>
      <c r="H120" s="1"/>
    </row>
    <row r="121" spans="1:8" x14ac:dyDescent="0.3">
      <c r="A121" s="5"/>
      <c r="B121" s="4"/>
      <c r="C121" s="4"/>
      <c r="D121" s="4"/>
      <c r="E121" s="4"/>
      <c r="F121" s="4"/>
      <c r="G121" s="4"/>
      <c r="H121" s="1"/>
    </row>
    <row r="122" spans="1:8" x14ac:dyDescent="0.3">
      <c r="A122" s="5"/>
      <c r="B122" s="4"/>
      <c r="C122" s="4"/>
      <c r="D122" s="4"/>
      <c r="E122" s="4"/>
      <c r="F122" s="4"/>
      <c r="G122" s="4"/>
      <c r="H122" s="1"/>
    </row>
    <row r="123" spans="1:8" x14ac:dyDescent="0.3">
      <c r="A123" s="5"/>
      <c r="B123" s="4"/>
      <c r="C123" s="4"/>
      <c r="D123" s="4"/>
      <c r="E123" s="4"/>
      <c r="F123" s="4"/>
      <c r="G123" s="4"/>
      <c r="H123" s="1"/>
    </row>
    <row r="124" spans="1:8" x14ac:dyDescent="0.3">
      <c r="A124" s="5"/>
      <c r="B124" s="4"/>
      <c r="C124" s="4"/>
      <c r="D124" s="4"/>
      <c r="E124" s="4"/>
      <c r="F124" s="4"/>
      <c r="G124" s="4"/>
      <c r="H124" s="1"/>
    </row>
    <row r="125" spans="1:8" x14ac:dyDescent="0.3">
      <c r="A125" s="5"/>
      <c r="B125" s="4"/>
      <c r="C125" s="4"/>
      <c r="D125" s="4"/>
      <c r="E125" s="4"/>
      <c r="F125" s="4"/>
      <c r="G125" s="4"/>
      <c r="H125" s="1"/>
    </row>
    <row r="126" spans="1:8" x14ac:dyDescent="0.3">
      <c r="A126" s="5"/>
      <c r="B126" s="4"/>
      <c r="C126" s="4"/>
      <c r="D126" s="4"/>
      <c r="E126" s="4"/>
      <c r="F126" s="4"/>
      <c r="G126" s="4"/>
      <c r="H126" s="1"/>
    </row>
    <row r="127" spans="1:8" x14ac:dyDescent="0.3">
      <c r="A127" s="5"/>
      <c r="B127" s="4"/>
      <c r="C127" s="4"/>
      <c r="D127" s="4"/>
      <c r="E127" s="4"/>
      <c r="F127" s="4"/>
      <c r="G127" s="4"/>
      <c r="H127" s="1"/>
    </row>
    <row r="128" spans="1:8" x14ac:dyDescent="0.3">
      <c r="A128" s="5"/>
      <c r="B128" s="4"/>
      <c r="C128" s="4"/>
      <c r="D128" s="4"/>
      <c r="E128" s="4"/>
      <c r="F128" s="4"/>
      <c r="G128" s="4"/>
      <c r="H128" s="1"/>
    </row>
    <row r="129" spans="1:8" x14ac:dyDescent="0.3">
      <c r="A129" s="5"/>
      <c r="B129" s="4"/>
      <c r="C129" s="4"/>
      <c r="D129" s="4"/>
      <c r="E129" s="4"/>
      <c r="F129" s="4"/>
      <c r="G129" s="4"/>
      <c r="H129" s="1"/>
    </row>
    <row r="130" spans="1:8" x14ac:dyDescent="0.3">
      <c r="A130" s="5"/>
      <c r="B130" s="4"/>
      <c r="C130" s="4"/>
      <c r="D130" s="4"/>
      <c r="E130" s="4"/>
      <c r="F130" s="4"/>
      <c r="G130" s="4"/>
      <c r="H130" s="1"/>
    </row>
    <row r="131" spans="1:8" x14ac:dyDescent="0.3">
      <c r="A131" s="5"/>
      <c r="B131" s="4"/>
      <c r="C131" s="4"/>
      <c r="D131" s="4"/>
      <c r="E131" s="4"/>
      <c r="F131" s="4"/>
      <c r="G131" s="4"/>
      <c r="H131" s="1"/>
    </row>
    <row r="132" spans="1:8" x14ac:dyDescent="0.3">
      <c r="A132" s="5"/>
      <c r="B132" s="4"/>
      <c r="C132" s="4"/>
      <c r="D132" s="4"/>
      <c r="E132" s="4"/>
      <c r="F132" s="4"/>
      <c r="G132" s="4"/>
      <c r="H132" s="1"/>
    </row>
    <row r="133" spans="1:8" x14ac:dyDescent="0.3">
      <c r="A133" s="5"/>
      <c r="B133" s="4"/>
      <c r="C133" s="4"/>
      <c r="D133" s="4"/>
      <c r="E133" s="4"/>
      <c r="F133" s="4"/>
      <c r="G133" s="4"/>
      <c r="H133" s="1"/>
    </row>
    <row r="134" spans="1:8" x14ac:dyDescent="0.3">
      <c r="A134" s="5"/>
      <c r="B134" s="4"/>
      <c r="C134" s="4"/>
      <c r="D134" s="4"/>
      <c r="E134" s="4"/>
      <c r="F134" s="4"/>
      <c r="G134" s="4"/>
      <c r="H134" s="1"/>
    </row>
    <row r="135" spans="1:8" x14ac:dyDescent="0.3">
      <c r="A135" s="5"/>
      <c r="B135" s="4"/>
      <c r="C135" s="4"/>
      <c r="D135" s="4"/>
      <c r="E135" s="4"/>
      <c r="F135" s="4"/>
      <c r="G135" s="4"/>
      <c r="H135" s="1"/>
    </row>
    <row r="136" spans="1:8" x14ac:dyDescent="0.3">
      <c r="A136" s="5"/>
      <c r="B136" s="4"/>
      <c r="C136" s="4"/>
      <c r="D136" s="4"/>
      <c r="E136" s="4"/>
      <c r="F136" s="4"/>
      <c r="G136" s="4"/>
      <c r="H136" s="1"/>
    </row>
    <row r="137" spans="1:8" x14ac:dyDescent="0.3">
      <c r="A137" s="5"/>
      <c r="B137" s="4"/>
      <c r="C137" s="4"/>
      <c r="D137" s="4"/>
      <c r="E137" s="4"/>
      <c r="F137" s="4"/>
      <c r="G137" s="4"/>
      <c r="H137" s="1"/>
    </row>
    <row r="138" spans="1:8" x14ac:dyDescent="0.3">
      <c r="A138" s="5"/>
      <c r="B138" s="4"/>
      <c r="C138" s="4"/>
      <c r="D138" s="4"/>
      <c r="E138" s="4"/>
      <c r="F138" s="4"/>
      <c r="G138" s="4"/>
      <c r="H138" s="1"/>
    </row>
    <row r="139" spans="1:8" x14ac:dyDescent="0.3">
      <c r="A139" s="5"/>
      <c r="B139" s="4"/>
      <c r="C139" s="4"/>
      <c r="D139" s="4"/>
      <c r="E139" s="4"/>
      <c r="F139" s="4"/>
      <c r="G139" s="4"/>
      <c r="H139" s="1"/>
    </row>
    <row r="140" spans="1:8" x14ac:dyDescent="0.3">
      <c r="A140" s="5"/>
      <c r="B140" s="4"/>
      <c r="C140" s="4"/>
      <c r="D140" s="4"/>
      <c r="E140" s="4"/>
      <c r="F140" s="4"/>
      <c r="G140" s="4"/>
      <c r="H140" s="1"/>
    </row>
    <row r="141" spans="1:8" x14ac:dyDescent="0.3">
      <c r="A141" s="5"/>
      <c r="B141" s="4"/>
      <c r="C141" s="4"/>
      <c r="D141" s="4"/>
      <c r="E141" s="4"/>
      <c r="F141" s="4"/>
      <c r="G141" s="4"/>
      <c r="H141" s="1"/>
    </row>
    <row r="142" spans="1:8" x14ac:dyDescent="0.3">
      <c r="A142" s="5"/>
      <c r="B142" s="4"/>
      <c r="C142" s="4"/>
      <c r="D142" s="4"/>
      <c r="E142" s="4"/>
      <c r="F142" s="4"/>
      <c r="G142" s="4"/>
      <c r="H142" s="1"/>
    </row>
    <row r="143" spans="1:8" x14ac:dyDescent="0.3">
      <c r="A143" s="5"/>
      <c r="B143" s="4"/>
      <c r="C143" s="4"/>
      <c r="D143" s="4"/>
      <c r="E143" s="4"/>
      <c r="F143" s="4"/>
      <c r="G143" s="4"/>
      <c r="H143" s="1"/>
    </row>
    <row r="144" spans="1:8" x14ac:dyDescent="0.3">
      <c r="A144" s="5"/>
      <c r="B144" s="4"/>
      <c r="C144" s="4"/>
      <c r="D144" s="4"/>
      <c r="E144" s="4"/>
      <c r="F144" s="4"/>
      <c r="G144" s="4"/>
      <c r="H144" s="1"/>
    </row>
    <row r="145" spans="1:8" x14ac:dyDescent="0.3">
      <c r="A145" s="5"/>
      <c r="B145" s="4"/>
      <c r="C145" s="4"/>
      <c r="D145" s="4"/>
      <c r="E145" s="4"/>
      <c r="F145" s="4"/>
      <c r="G145" s="4"/>
      <c r="H145" s="1"/>
    </row>
    <row r="146" spans="1:8" x14ac:dyDescent="0.3">
      <c r="A146" s="5"/>
      <c r="B146" s="4"/>
      <c r="C146" s="4"/>
      <c r="D146" s="4"/>
      <c r="E146" s="4"/>
      <c r="F146" s="4"/>
      <c r="G146" s="4"/>
      <c r="H146" s="1"/>
    </row>
    <row r="147" spans="1:8" x14ac:dyDescent="0.3">
      <c r="A147" s="5"/>
      <c r="B147" s="4"/>
      <c r="C147" s="4"/>
      <c r="D147" s="4"/>
      <c r="E147" s="4"/>
      <c r="F147" s="4"/>
      <c r="G147" s="4"/>
      <c r="H147" s="1"/>
    </row>
    <row r="148" spans="1:8" x14ac:dyDescent="0.3">
      <c r="A148" s="5"/>
      <c r="B148" s="4"/>
      <c r="C148" s="4"/>
      <c r="D148" s="4"/>
      <c r="E148" s="4"/>
      <c r="F148" s="4"/>
      <c r="G148" s="4"/>
      <c r="H148" s="1"/>
    </row>
    <row r="149" spans="1:8" x14ac:dyDescent="0.3">
      <c r="A149" s="5"/>
      <c r="B149" s="4"/>
      <c r="C149" s="4"/>
      <c r="D149" s="4"/>
      <c r="E149" s="4"/>
      <c r="F149" s="4"/>
      <c r="G149" s="4"/>
      <c r="H149" s="1"/>
    </row>
    <row r="150" spans="1:8" x14ac:dyDescent="0.3">
      <c r="A150" s="5"/>
      <c r="B150" s="4"/>
      <c r="C150" s="4"/>
      <c r="D150" s="4"/>
      <c r="E150" s="4"/>
      <c r="F150" s="4"/>
      <c r="G150" s="4"/>
      <c r="H150" s="1"/>
    </row>
    <row r="151" spans="1:8" x14ac:dyDescent="0.3">
      <c r="A151" s="5"/>
      <c r="B151" s="4"/>
      <c r="C151" s="4"/>
      <c r="D151" s="4"/>
      <c r="E151" s="4"/>
      <c r="F151" s="4"/>
      <c r="G151" s="4"/>
      <c r="H151" s="1"/>
    </row>
    <row r="152" spans="1:8" x14ac:dyDescent="0.3">
      <c r="A152" s="5"/>
      <c r="B152" s="4"/>
      <c r="C152" s="4"/>
      <c r="D152" s="4"/>
      <c r="E152" s="4"/>
      <c r="F152" s="4"/>
      <c r="G152" s="4"/>
      <c r="H152" s="1"/>
    </row>
    <row r="153" spans="1:8" x14ac:dyDescent="0.3">
      <c r="A153" s="5"/>
      <c r="B153" s="4"/>
      <c r="C153" s="4"/>
      <c r="D153" s="4"/>
      <c r="E153" s="4"/>
      <c r="F153" s="4"/>
      <c r="G153" s="4"/>
      <c r="H153" s="1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95D15-0656-42D1-A18C-DCC05CC69805}">
  <dimension ref="A1:H29"/>
  <sheetViews>
    <sheetView workbookViewId="0">
      <selection activeCell="A2" sqref="A2"/>
    </sheetView>
  </sheetViews>
  <sheetFormatPr baseColWidth="10" defaultRowHeight="16.5" x14ac:dyDescent="0.3"/>
  <sheetData>
    <row r="1" spans="1:8" x14ac:dyDescent="0.3">
      <c r="A1" s="18" t="s">
        <v>20</v>
      </c>
      <c r="B1" s="18"/>
      <c r="C1" s="18"/>
      <c r="D1" s="18"/>
      <c r="E1" s="18"/>
      <c r="F1" s="18"/>
      <c r="G1" s="18"/>
      <c r="H1" s="18"/>
    </row>
    <row r="2" spans="1:8" x14ac:dyDescent="0.3">
      <c r="A2" s="6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10</v>
      </c>
      <c r="G2" s="6" t="s">
        <v>8</v>
      </c>
      <c r="H2" s="6" t="s">
        <v>9</v>
      </c>
    </row>
    <row r="3" spans="1:8" x14ac:dyDescent="0.3">
      <c r="A3" s="7">
        <v>1</v>
      </c>
      <c r="B3" s="4">
        <v>0</v>
      </c>
      <c r="C3" s="4">
        <v>1</v>
      </c>
      <c r="D3" s="4">
        <f>(B3+C3)/2</f>
        <v>0.5</v>
      </c>
      <c r="E3" s="4">
        <f>B3^3 - B3^2*EXP(-0.5*B3) - 3*B3 + 1</f>
        <v>1</v>
      </c>
      <c r="F3" s="4">
        <f>D3^3 - D3^2*EXP(-0.5*D3) - 3*D3 + 1</f>
        <v>-0.56970019576785114</v>
      </c>
      <c r="G3" s="4">
        <f>ABS(C3-B3)/2</f>
        <v>0.5</v>
      </c>
      <c r="H3" s="1" t="str">
        <f>IF(OR(ABS(F3)&lt;=CONFIG!$B$5,G3&lt;=CONFIG!$B$5),"✓","→")</f>
        <v>→</v>
      </c>
    </row>
    <row r="4" spans="1:8" x14ac:dyDescent="0.3">
      <c r="A4" s="7">
        <f>A3+1</f>
        <v>2</v>
      </c>
      <c r="B4" s="4">
        <f>IF(E3*F3&lt;0,B3,D3)</f>
        <v>0</v>
      </c>
      <c r="C4" s="4">
        <f>IF(E3*F3&lt;0,D3,C3)</f>
        <v>0.5</v>
      </c>
      <c r="D4" s="4">
        <f>(B4+C4)/2</f>
        <v>0.25</v>
      </c>
      <c r="E4" s="4">
        <f>B4^3 - B4^2*EXP(-0.5*B4) - 3*B4 + 1</f>
        <v>1</v>
      </c>
      <c r="F4" s="4">
        <f>D4^3 - D4^2*EXP(-0.5*D4) - 3*D4 + 1</f>
        <v>0.2104689435884628</v>
      </c>
      <c r="G4" s="4">
        <f>ABS(C4-B4)/2</f>
        <v>0.25</v>
      </c>
      <c r="H4" s="1" t="str">
        <f>IF(OR(ABS(F4)&lt;=CONFIG!$B$5,G4&lt;=CONFIG!$B$5),"✓","→")</f>
        <v>→</v>
      </c>
    </row>
    <row r="5" spans="1:8" x14ac:dyDescent="0.3">
      <c r="A5" s="7">
        <f t="shared" ref="A5:A23" si="0">A4+1</f>
        <v>3</v>
      </c>
      <c r="B5" s="4">
        <f t="shared" ref="B5:B23" si="1">IF(E4*F4&lt;0,B4,D4)</f>
        <v>0.25</v>
      </c>
      <c r="C5" s="4">
        <f t="shared" ref="C5:C23" si="2">IF(E4*F4&lt;0,D4,C4)</f>
        <v>0.5</v>
      </c>
      <c r="D5" s="4">
        <f t="shared" ref="D5:D23" si="3">(B5+C5)/2</f>
        <v>0.375</v>
      </c>
      <c r="E5" s="4">
        <f t="shared" ref="E5:E23" si="4">B5^3 - B5^2*EXP(-0.5*B5) - 3*B5 + 1</f>
        <v>0.2104689435884628</v>
      </c>
      <c r="F5" s="4">
        <f t="shared" ref="F5:F23" si="5">D5^3 - D5^2*EXP(-0.5*D5) - 3*D5 + 1</f>
        <v>-0.18884784474411886</v>
      </c>
      <c r="G5" s="4">
        <f t="shared" ref="G5:G23" si="6">ABS(C5-B5)/2</f>
        <v>0.125</v>
      </c>
      <c r="H5" s="1" t="str">
        <f>IF(OR(ABS(F5)&lt;=CONFIG!$B$5,G5&lt;=CONFIG!$B$5),"✓","→")</f>
        <v>→</v>
      </c>
    </row>
    <row r="6" spans="1:8" x14ac:dyDescent="0.3">
      <c r="A6" s="7">
        <f t="shared" si="0"/>
        <v>4</v>
      </c>
      <c r="B6" s="4">
        <f t="shared" si="1"/>
        <v>0.25</v>
      </c>
      <c r="C6" s="4">
        <f t="shared" si="2"/>
        <v>0.375</v>
      </c>
      <c r="D6" s="4">
        <f t="shared" si="3"/>
        <v>0.3125</v>
      </c>
      <c r="E6" s="4">
        <f t="shared" si="4"/>
        <v>0.2104689435884628</v>
      </c>
      <c r="F6" s="4">
        <f t="shared" si="5"/>
        <v>9.4877610051344874E-3</v>
      </c>
      <c r="G6" s="4">
        <f t="shared" si="6"/>
        <v>6.25E-2</v>
      </c>
      <c r="H6" s="1" t="str">
        <f>IF(OR(ABS(F6)&lt;=CONFIG!$B$5,G6&lt;=CONFIG!$B$5),"✓","→")</f>
        <v>→</v>
      </c>
    </row>
    <row r="7" spans="1:8" x14ac:dyDescent="0.3">
      <c r="A7" s="7">
        <f t="shared" si="0"/>
        <v>5</v>
      </c>
      <c r="B7" s="4">
        <f t="shared" si="1"/>
        <v>0.3125</v>
      </c>
      <c r="C7" s="4">
        <f t="shared" si="2"/>
        <v>0.375</v>
      </c>
      <c r="D7" s="4">
        <f t="shared" si="3"/>
        <v>0.34375</v>
      </c>
      <c r="E7" s="4">
        <f t="shared" si="4"/>
        <v>9.4877610051344874E-3</v>
      </c>
      <c r="F7" s="4">
        <f t="shared" si="5"/>
        <v>-9.0135220394872428E-2</v>
      </c>
      <c r="G7" s="4">
        <f t="shared" si="6"/>
        <v>3.125E-2</v>
      </c>
      <c r="H7" s="1" t="str">
        <f>IF(OR(ABS(F7)&lt;=CONFIG!$B$5,G7&lt;=CONFIG!$B$5),"✓","→")</f>
        <v>→</v>
      </c>
    </row>
    <row r="8" spans="1:8" x14ac:dyDescent="0.3">
      <c r="A8" s="7">
        <f t="shared" si="0"/>
        <v>6</v>
      </c>
      <c r="B8" s="4">
        <f t="shared" si="1"/>
        <v>0.3125</v>
      </c>
      <c r="C8" s="4">
        <f t="shared" si="2"/>
        <v>0.34375</v>
      </c>
      <c r="D8" s="4">
        <f t="shared" si="3"/>
        <v>0.328125</v>
      </c>
      <c r="E8" s="4">
        <f t="shared" si="4"/>
        <v>9.4877610051344874E-3</v>
      </c>
      <c r="F8" s="4">
        <f t="shared" si="5"/>
        <v>-4.0422049298882712E-2</v>
      </c>
      <c r="G8" s="4">
        <f t="shared" si="6"/>
        <v>1.5625E-2</v>
      </c>
      <c r="H8" s="1" t="str">
        <f>IF(OR(ABS(F8)&lt;=CONFIG!$B$5,G8&lt;=CONFIG!$B$5),"✓","→")</f>
        <v>→</v>
      </c>
    </row>
    <row r="9" spans="1:8" x14ac:dyDescent="0.3">
      <c r="A9" s="7">
        <f t="shared" si="0"/>
        <v>7</v>
      </c>
      <c r="B9" s="4">
        <f t="shared" si="1"/>
        <v>0.3125</v>
      </c>
      <c r="C9" s="4">
        <f t="shared" si="2"/>
        <v>0.328125</v>
      </c>
      <c r="D9" s="4">
        <f t="shared" si="3"/>
        <v>0.3203125</v>
      </c>
      <c r="E9" s="4">
        <f t="shared" si="4"/>
        <v>9.4877610051344874E-3</v>
      </c>
      <c r="F9" s="4">
        <f t="shared" si="5"/>
        <v>-1.5489782308668598E-2</v>
      </c>
      <c r="G9" s="4">
        <f t="shared" si="6"/>
        <v>7.8125E-3</v>
      </c>
      <c r="H9" s="1" t="str">
        <f>IF(OR(ABS(F9)&lt;=CONFIG!$B$5,G9&lt;=CONFIG!$B$5),"✓","→")</f>
        <v>→</v>
      </c>
    </row>
    <row r="10" spans="1:8" x14ac:dyDescent="0.3">
      <c r="A10" s="7">
        <f t="shared" si="0"/>
        <v>8</v>
      </c>
      <c r="B10" s="4">
        <f t="shared" si="1"/>
        <v>0.3125</v>
      </c>
      <c r="C10" s="4">
        <f t="shared" si="2"/>
        <v>0.3203125</v>
      </c>
      <c r="D10" s="4">
        <f t="shared" si="3"/>
        <v>0.31640625</v>
      </c>
      <c r="E10" s="4">
        <f t="shared" si="4"/>
        <v>9.4877610051344874E-3</v>
      </c>
      <c r="F10" s="4">
        <f t="shared" si="5"/>
        <v>-3.006427010124435E-3</v>
      </c>
      <c r="G10" s="4">
        <f t="shared" si="6"/>
        <v>3.90625E-3</v>
      </c>
      <c r="H10" s="1" t="str">
        <f>IF(OR(ABS(F10)&lt;=CONFIG!$B$5,G10&lt;=CONFIG!$B$5),"✓","→")</f>
        <v>→</v>
      </c>
    </row>
    <row r="11" spans="1:8" x14ac:dyDescent="0.3">
      <c r="A11" s="7">
        <f t="shared" si="0"/>
        <v>9</v>
      </c>
      <c r="B11" s="4">
        <f t="shared" si="1"/>
        <v>0.3125</v>
      </c>
      <c r="C11" s="4">
        <f t="shared" si="2"/>
        <v>0.31640625</v>
      </c>
      <c r="D11" s="4">
        <f t="shared" si="3"/>
        <v>0.314453125</v>
      </c>
      <c r="E11" s="4">
        <f t="shared" si="4"/>
        <v>9.4877610051344874E-3</v>
      </c>
      <c r="F11" s="4">
        <f t="shared" si="5"/>
        <v>3.239343334866418E-3</v>
      </c>
      <c r="G11" s="4">
        <f t="shared" si="6"/>
        <v>1.953125E-3</v>
      </c>
      <c r="H11" s="1" t="str">
        <f>IF(OR(ABS(F11)&lt;=CONFIG!$B$5,G11&lt;=CONFIG!$B$5),"✓","→")</f>
        <v>→</v>
      </c>
    </row>
    <row r="12" spans="1:8" x14ac:dyDescent="0.3">
      <c r="A12" s="7">
        <f t="shared" si="0"/>
        <v>10</v>
      </c>
      <c r="B12" s="4">
        <f t="shared" si="1"/>
        <v>0.314453125</v>
      </c>
      <c r="C12" s="4">
        <f t="shared" si="2"/>
        <v>0.31640625</v>
      </c>
      <c r="D12" s="4">
        <f t="shared" si="3"/>
        <v>0.3154296875</v>
      </c>
      <c r="E12" s="4">
        <f t="shared" si="4"/>
        <v>3.239343334866418E-3</v>
      </c>
      <c r="F12" s="4">
        <f t="shared" si="5"/>
        <v>1.1612344203659752E-4</v>
      </c>
      <c r="G12" s="4">
        <f t="shared" si="6"/>
        <v>9.765625E-4</v>
      </c>
      <c r="H12" s="1" t="str">
        <f>IF(OR(ABS(F12)&lt;=CONFIG!$B$5,G12&lt;=CONFIG!$B$5),"✓","→")</f>
        <v>→</v>
      </c>
    </row>
    <row r="13" spans="1:8" x14ac:dyDescent="0.3">
      <c r="A13" s="7">
        <f t="shared" si="0"/>
        <v>11</v>
      </c>
      <c r="B13" s="4">
        <f t="shared" si="1"/>
        <v>0.3154296875</v>
      </c>
      <c r="C13" s="4">
        <f t="shared" si="2"/>
        <v>0.31640625</v>
      </c>
      <c r="D13" s="4">
        <f t="shared" si="3"/>
        <v>0.31591796875</v>
      </c>
      <c r="E13" s="4">
        <f t="shared" si="4"/>
        <v>1.1612344203659752E-4</v>
      </c>
      <c r="F13" s="4">
        <f t="shared" si="5"/>
        <v>-1.4452359395975556E-3</v>
      </c>
      <c r="G13" s="4">
        <f t="shared" si="6"/>
        <v>4.8828125E-4</v>
      </c>
      <c r="H13" s="1" t="str">
        <f>IF(OR(ABS(F13)&lt;=CONFIG!$B$5,G13&lt;=CONFIG!$B$5),"✓","→")</f>
        <v>→</v>
      </c>
    </row>
    <row r="14" spans="1:8" x14ac:dyDescent="0.3">
      <c r="A14" s="7">
        <f t="shared" si="0"/>
        <v>12</v>
      </c>
      <c r="B14" s="4">
        <f t="shared" si="1"/>
        <v>0.3154296875</v>
      </c>
      <c r="C14" s="4">
        <f t="shared" si="2"/>
        <v>0.31591796875</v>
      </c>
      <c r="D14" s="4">
        <f t="shared" si="3"/>
        <v>0.315673828125</v>
      </c>
      <c r="E14" s="4">
        <f t="shared" si="4"/>
        <v>1.1612344203659752E-4</v>
      </c>
      <c r="F14" s="4">
        <f t="shared" si="5"/>
        <v>-6.6457722824031507E-4</v>
      </c>
      <c r="G14" s="4">
        <f t="shared" si="6"/>
        <v>2.44140625E-4</v>
      </c>
      <c r="H14" s="1" t="str">
        <f>IF(OR(ABS(F14)&lt;=CONFIG!$B$5,G14&lt;=CONFIG!$B$5),"✓","→")</f>
        <v>→</v>
      </c>
    </row>
    <row r="15" spans="1:8" x14ac:dyDescent="0.3">
      <c r="A15" s="7">
        <f t="shared" si="0"/>
        <v>13</v>
      </c>
      <c r="B15" s="4">
        <f t="shared" si="1"/>
        <v>0.3154296875</v>
      </c>
      <c r="C15" s="4">
        <f t="shared" si="2"/>
        <v>0.315673828125</v>
      </c>
      <c r="D15" s="4">
        <f t="shared" si="3"/>
        <v>0.3155517578125</v>
      </c>
      <c r="E15" s="4">
        <f t="shared" si="4"/>
        <v>1.1612344203659752E-4</v>
      </c>
      <c r="F15" s="4">
        <f t="shared" si="5"/>
        <v>-2.7423213053778817E-4</v>
      </c>
      <c r="G15" s="4">
        <f t="shared" si="6"/>
        <v>1.220703125E-4</v>
      </c>
      <c r="H15" s="1" t="str">
        <f>IF(OR(ABS(F15)&lt;=CONFIG!$B$5,G15&lt;=CONFIG!$B$5),"✓","→")</f>
        <v>→</v>
      </c>
    </row>
    <row r="16" spans="1:8" x14ac:dyDescent="0.3">
      <c r="A16" s="7">
        <f t="shared" si="0"/>
        <v>14</v>
      </c>
      <c r="B16" s="4">
        <f t="shared" si="1"/>
        <v>0.3154296875</v>
      </c>
      <c r="C16" s="4">
        <f t="shared" si="2"/>
        <v>0.3155517578125</v>
      </c>
      <c r="D16" s="4">
        <f t="shared" si="3"/>
        <v>0.31549072265625</v>
      </c>
      <c r="E16" s="4">
        <f t="shared" si="4"/>
        <v>1.1612344203659752E-4</v>
      </c>
      <c r="F16" s="4">
        <f t="shared" si="5"/>
        <v>-7.9055652680848354E-5</v>
      </c>
      <c r="G16" s="4">
        <f t="shared" si="6"/>
        <v>6.103515625E-5</v>
      </c>
      <c r="H16" s="1" t="str">
        <f>IF(OR(ABS(F16)&lt;=CONFIG!$B$5,G16&lt;=CONFIG!$B$5),"✓","→")</f>
        <v>→</v>
      </c>
    </row>
    <row r="17" spans="1:8" x14ac:dyDescent="0.3">
      <c r="A17" s="7">
        <f t="shared" si="0"/>
        <v>15</v>
      </c>
      <c r="B17" s="4">
        <f t="shared" si="1"/>
        <v>0.3154296875</v>
      </c>
      <c r="C17" s="4">
        <f t="shared" si="2"/>
        <v>0.31549072265625</v>
      </c>
      <c r="D17" s="4">
        <f t="shared" si="3"/>
        <v>0.315460205078125</v>
      </c>
      <c r="E17" s="4">
        <f t="shared" si="4"/>
        <v>1.1612344203659752E-4</v>
      </c>
      <c r="F17" s="4">
        <f t="shared" si="5"/>
        <v>1.8533567686329633E-5</v>
      </c>
      <c r="G17" s="4">
        <f t="shared" si="6"/>
        <v>3.0517578125E-5</v>
      </c>
      <c r="H17" s="1" t="str">
        <f>IF(OR(ABS(F17)&lt;=CONFIG!$B$5,G17&lt;=CONFIG!$B$5),"✓","→")</f>
        <v>→</v>
      </c>
    </row>
    <row r="18" spans="1:8" x14ac:dyDescent="0.3">
      <c r="A18" s="7">
        <f t="shared" si="0"/>
        <v>16</v>
      </c>
      <c r="B18" s="4">
        <f t="shared" si="1"/>
        <v>0.315460205078125</v>
      </c>
      <c r="C18" s="4">
        <f t="shared" si="2"/>
        <v>0.31549072265625</v>
      </c>
      <c r="D18" s="4">
        <f t="shared" si="3"/>
        <v>0.3154754638671875</v>
      </c>
      <c r="E18" s="4">
        <f t="shared" si="4"/>
        <v>1.8533567686329633E-5</v>
      </c>
      <c r="F18" s="4">
        <f t="shared" si="5"/>
        <v>-3.0261124259745031E-5</v>
      </c>
      <c r="G18" s="4">
        <f t="shared" si="6"/>
        <v>1.52587890625E-5</v>
      </c>
      <c r="H18" s="1" t="str">
        <f>IF(OR(ABS(F18)&lt;=CONFIG!$B$5,G18&lt;=CONFIG!$B$5),"✓","→")</f>
        <v>→</v>
      </c>
    </row>
    <row r="19" spans="1:8" x14ac:dyDescent="0.3">
      <c r="A19" s="7">
        <f t="shared" si="0"/>
        <v>17</v>
      </c>
      <c r="B19" s="4">
        <f t="shared" si="1"/>
        <v>0.315460205078125</v>
      </c>
      <c r="C19" s="4">
        <f t="shared" si="2"/>
        <v>0.3154754638671875</v>
      </c>
      <c r="D19" s="4">
        <f t="shared" si="3"/>
        <v>0.31546783447265625</v>
      </c>
      <c r="E19" s="4">
        <f t="shared" si="4"/>
        <v>1.8533567686329633E-5</v>
      </c>
      <c r="F19" s="4">
        <f t="shared" si="5"/>
        <v>-5.8637987254694934E-6</v>
      </c>
      <c r="G19" s="4">
        <f t="shared" si="6"/>
        <v>7.62939453125E-6</v>
      </c>
      <c r="H19" s="1" t="str">
        <f>IF(OR(ABS(F19)&lt;=CONFIG!$B$5,G19&lt;=CONFIG!$B$5),"✓","→")</f>
        <v>→</v>
      </c>
    </row>
    <row r="20" spans="1:8" x14ac:dyDescent="0.3">
      <c r="A20" s="7">
        <f t="shared" si="0"/>
        <v>18</v>
      </c>
      <c r="B20" s="4">
        <f t="shared" si="1"/>
        <v>0.315460205078125</v>
      </c>
      <c r="C20" s="4">
        <f t="shared" si="2"/>
        <v>0.31546783447265625</v>
      </c>
      <c r="D20" s="4">
        <f t="shared" si="3"/>
        <v>0.31546401977539063</v>
      </c>
      <c r="E20" s="4">
        <f t="shared" si="4"/>
        <v>1.8533567686329633E-5</v>
      </c>
      <c r="F20" s="4">
        <f t="shared" si="5"/>
        <v>6.3348793709616658E-6</v>
      </c>
      <c r="G20" s="4">
        <f t="shared" si="6"/>
        <v>3.814697265625E-6</v>
      </c>
      <c r="H20" s="1" t="str">
        <f>IF(OR(ABS(F20)&lt;=CONFIG!$B$5,G20&lt;=CONFIG!$B$5),"✓","→")</f>
        <v>→</v>
      </c>
    </row>
    <row r="21" spans="1:8" x14ac:dyDescent="0.3">
      <c r="A21" s="7">
        <f t="shared" si="0"/>
        <v>19</v>
      </c>
      <c r="B21" s="4">
        <f t="shared" si="1"/>
        <v>0.31546401977539063</v>
      </c>
      <c r="C21" s="4">
        <f t="shared" si="2"/>
        <v>0.31546783447265625</v>
      </c>
      <c r="D21" s="4">
        <f t="shared" si="3"/>
        <v>0.31546592712402344</v>
      </c>
      <c r="E21" s="4">
        <f t="shared" si="4"/>
        <v>6.3348793709616658E-6</v>
      </c>
      <c r="F21" s="4">
        <f t="shared" si="5"/>
        <v>2.3553904537898518E-7</v>
      </c>
      <c r="G21" s="4">
        <f t="shared" si="6"/>
        <v>1.9073486328125E-6</v>
      </c>
      <c r="H21" s="1" t="str">
        <f>IF(OR(ABS(F21)&lt;=CONFIG!$B$5,G21&lt;=CONFIG!$B$5),"✓","→")</f>
        <v>✓</v>
      </c>
    </row>
    <row r="22" spans="1:8" x14ac:dyDescent="0.3">
      <c r="A22" s="7">
        <f t="shared" si="0"/>
        <v>20</v>
      </c>
      <c r="B22" s="4">
        <f t="shared" si="1"/>
        <v>0.31546592712402344</v>
      </c>
      <c r="C22" s="4">
        <f t="shared" si="2"/>
        <v>0.31546783447265625</v>
      </c>
      <c r="D22" s="4">
        <f t="shared" si="3"/>
        <v>0.31546688079833984</v>
      </c>
      <c r="E22" s="4">
        <f t="shared" si="4"/>
        <v>2.3553904537898518E-7</v>
      </c>
      <c r="F22" s="4">
        <f t="shared" si="5"/>
        <v>-2.814130159345396E-6</v>
      </c>
      <c r="G22" s="4">
        <f t="shared" si="6"/>
        <v>9.5367431640625E-7</v>
      </c>
      <c r="H22" s="1" t="str">
        <f>IF(OR(ABS(F22)&lt;=CONFIG!$B$5,G22&lt;=CONFIG!$B$5),"✓","→")</f>
        <v>✓</v>
      </c>
    </row>
    <row r="23" spans="1:8" x14ac:dyDescent="0.3">
      <c r="A23" s="7">
        <f t="shared" si="0"/>
        <v>21</v>
      </c>
      <c r="B23" s="4">
        <f t="shared" si="1"/>
        <v>0.31546592712402344</v>
      </c>
      <c r="C23" s="4">
        <f t="shared" si="2"/>
        <v>0.31546688079833984</v>
      </c>
      <c r="D23" s="4">
        <f t="shared" si="3"/>
        <v>0.31546640396118164</v>
      </c>
      <c r="E23" s="4">
        <f t="shared" si="4"/>
        <v>2.3553904537898518E-7</v>
      </c>
      <c r="F23" s="4">
        <f t="shared" si="5"/>
        <v>-1.2892956369192632E-6</v>
      </c>
      <c r="G23" s="4">
        <f t="shared" si="6"/>
        <v>4.76837158203125E-7</v>
      </c>
      <c r="H23" s="1" t="str">
        <f>IF(OR(ABS(F23)&lt;=CONFIG!$B$5,G23&lt;=CONFIG!$B$5),"✓","→")</f>
        <v>✓</v>
      </c>
    </row>
    <row r="24" spans="1:8" x14ac:dyDescent="0.3">
      <c r="A24" s="1"/>
      <c r="B24" s="3"/>
      <c r="C24" s="3"/>
      <c r="D24" s="3"/>
      <c r="E24" s="3"/>
      <c r="F24" s="3"/>
      <c r="G24" s="3"/>
      <c r="H24" s="3"/>
    </row>
    <row r="25" spans="1:8" x14ac:dyDescent="0.3">
      <c r="A25" s="1"/>
      <c r="B25" s="3"/>
      <c r="C25" s="3"/>
      <c r="D25" s="3"/>
      <c r="E25" s="3"/>
      <c r="F25" s="3"/>
      <c r="G25" s="3"/>
      <c r="H25" s="3"/>
    </row>
    <row r="26" spans="1:8" x14ac:dyDescent="0.3">
      <c r="A26" s="1"/>
      <c r="B26" s="3"/>
      <c r="C26" s="3"/>
      <c r="D26" s="3"/>
      <c r="E26" s="3"/>
      <c r="F26" s="3"/>
      <c r="G26" s="3"/>
      <c r="H26" s="3"/>
    </row>
    <row r="27" spans="1:8" x14ac:dyDescent="0.3">
      <c r="A27" s="1"/>
      <c r="B27" s="3"/>
      <c r="C27" s="3"/>
      <c r="D27" s="3"/>
      <c r="E27" s="3"/>
      <c r="F27" s="3"/>
      <c r="G27" s="3"/>
      <c r="H27" s="3"/>
    </row>
    <row r="28" spans="1:8" x14ac:dyDescent="0.3">
      <c r="A28" s="1"/>
      <c r="B28" s="3"/>
      <c r="C28" s="3"/>
      <c r="D28" s="3"/>
      <c r="E28" s="3"/>
      <c r="F28" s="3"/>
      <c r="G28" s="3"/>
      <c r="H28" s="1"/>
    </row>
    <row r="29" spans="1:8" x14ac:dyDescent="0.3">
      <c r="A29" s="1"/>
      <c r="B29" s="3"/>
      <c r="C29" s="3"/>
      <c r="D29" s="3"/>
      <c r="E29" s="3"/>
      <c r="F29" s="3"/>
      <c r="G29" s="3"/>
      <c r="H29" s="1"/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877CA-FB1B-4417-A2BF-775CFFDE6890}">
  <dimension ref="A1:H30"/>
  <sheetViews>
    <sheetView workbookViewId="0">
      <selection activeCell="A2" sqref="A2"/>
    </sheetView>
  </sheetViews>
  <sheetFormatPr baseColWidth="10" defaultRowHeight="16.5" x14ac:dyDescent="0.3"/>
  <sheetData>
    <row r="1" spans="1:8" x14ac:dyDescent="0.3">
      <c r="A1" s="18" t="s">
        <v>21</v>
      </c>
      <c r="B1" s="18"/>
      <c r="C1" s="18"/>
      <c r="D1" s="18"/>
      <c r="E1" s="18"/>
      <c r="F1" s="18"/>
      <c r="G1" s="18"/>
      <c r="H1" s="18"/>
    </row>
    <row r="2" spans="1:8" x14ac:dyDescent="0.3">
      <c r="A2" s="6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10</v>
      </c>
      <c r="G2" s="6" t="s">
        <v>8</v>
      </c>
      <c r="H2" s="6" t="s">
        <v>9</v>
      </c>
    </row>
    <row r="3" spans="1:8" x14ac:dyDescent="0.3">
      <c r="A3" s="7">
        <v>1</v>
      </c>
      <c r="B3" s="4">
        <v>1.5</v>
      </c>
      <c r="C3" s="4">
        <v>2</v>
      </c>
      <c r="D3" s="4">
        <f>(B3+C3)/2</f>
        <v>1.75</v>
      </c>
      <c r="E3" s="4">
        <f>B3^3 - B3^2*EXP(-0.5*B3) - 3*B3 + 1</f>
        <v>-1.1878247436672833</v>
      </c>
      <c r="F3" s="4">
        <f>D3^3 - D3^2*EXP(-0.5*D3) - 3*D3 + 1</f>
        <v>-0.16726493526543162</v>
      </c>
      <c r="G3" s="4">
        <f>ABS(C3-B3)/2</f>
        <v>0.25</v>
      </c>
      <c r="H3" s="1" t="str">
        <f>IF(OR(ABS(F3)&lt;=CONFIG!$B$5,G3&lt;=CONFIG!$B$5),"✓","→")</f>
        <v>→</v>
      </c>
    </row>
    <row r="4" spans="1:8" x14ac:dyDescent="0.3">
      <c r="A4" s="7">
        <f>A3+1</f>
        <v>2</v>
      </c>
      <c r="B4" s="4">
        <f>IF(E3*F3&lt;0,B3,D3)</f>
        <v>1.75</v>
      </c>
      <c r="C4" s="4">
        <f>IF(E3*F3&lt;0,D3,C3)</f>
        <v>2</v>
      </c>
      <c r="D4" s="4">
        <f>(B4+C4)/2</f>
        <v>1.875</v>
      </c>
      <c r="E4" s="4">
        <f>B4^3 - B4^2*EXP(-0.5*B4) - 3*B4 + 1</f>
        <v>-0.16726493526543162</v>
      </c>
      <c r="F4" s="4">
        <f>D4^3 - D4^2*EXP(-0.5*D4) - 3*D4 + 1</f>
        <v>0.59005834371437871</v>
      </c>
      <c r="G4" s="4">
        <f>ABS(C4-B4)/2</f>
        <v>0.125</v>
      </c>
      <c r="H4" s="1" t="str">
        <f>IF(OR(ABS(F4)&lt;=CONFIG!$B$5,G4&lt;=CONFIG!$B$5),"✓","→")</f>
        <v>→</v>
      </c>
    </row>
    <row r="5" spans="1:8" x14ac:dyDescent="0.3">
      <c r="A5" s="7">
        <f t="shared" ref="A5:A23" si="0">A4+1</f>
        <v>3</v>
      </c>
      <c r="B5" s="4">
        <f t="shared" ref="B5:B23" si="1">IF(E4*F4&lt;0,B4,D4)</f>
        <v>1.75</v>
      </c>
      <c r="C5" s="4">
        <f t="shared" ref="C5:C23" si="2">IF(E4*F4&lt;0,D4,C4)</f>
        <v>1.875</v>
      </c>
      <c r="D5" s="4">
        <f t="shared" ref="D5:D23" si="3">(B5+C5)/2</f>
        <v>1.8125</v>
      </c>
      <c r="E5" s="4">
        <f t="shared" ref="E5:E23" si="4">B5^3 - B5^2*EXP(-0.5*B5) - 3*B5 + 1</f>
        <v>-0.16726493526543162</v>
      </c>
      <c r="F5" s="4">
        <f t="shared" ref="F5:F23" si="5">D5^3 - D5^2*EXP(-0.5*D5) - 3*D5 + 1</f>
        <v>0.18952259218409928</v>
      </c>
      <c r="G5" s="4">
        <f t="shared" ref="G5:G23" si="6">ABS(C5-B5)/2</f>
        <v>6.25E-2</v>
      </c>
      <c r="H5" s="1" t="str">
        <f>IF(OR(ABS(F5)&lt;=CONFIG!$B$5,G5&lt;=CONFIG!$B$5),"✓","→")</f>
        <v>→</v>
      </c>
    </row>
    <row r="6" spans="1:8" x14ac:dyDescent="0.3">
      <c r="A6" s="7">
        <f t="shared" si="0"/>
        <v>4</v>
      </c>
      <c r="B6" s="4">
        <f t="shared" si="1"/>
        <v>1.75</v>
      </c>
      <c r="C6" s="4">
        <f t="shared" si="2"/>
        <v>1.8125</v>
      </c>
      <c r="D6" s="4">
        <f t="shared" si="3"/>
        <v>1.78125</v>
      </c>
      <c r="E6" s="4">
        <f t="shared" si="4"/>
        <v>-0.16726493526543162</v>
      </c>
      <c r="F6" s="4">
        <f t="shared" si="5"/>
        <v>5.7561880955994127E-3</v>
      </c>
      <c r="G6" s="4">
        <f t="shared" si="6"/>
        <v>3.125E-2</v>
      </c>
      <c r="H6" s="1" t="str">
        <f>IF(OR(ABS(F6)&lt;=CONFIG!$B$5,G6&lt;=CONFIG!$B$5),"✓","→")</f>
        <v>→</v>
      </c>
    </row>
    <row r="7" spans="1:8" x14ac:dyDescent="0.3">
      <c r="A7" s="7">
        <f t="shared" si="0"/>
        <v>5</v>
      </c>
      <c r="B7" s="4">
        <f t="shared" si="1"/>
        <v>1.75</v>
      </c>
      <c r="C7" s="4">
        <f t="shared" si="2"/>
        <v>1.78125</v>
      </c>
      <c r="D7" s="4">
        <f t="shared" si="3"/>
        <v>1.765625</v>
      </c>
      <c r="E7" s="4">
        <f t="shared" si="4"/>
        <v>-0.16726493526543162</v>
      </c>
      <c r="F7" s="4">
        <f t="shared" si="5"/>
        <v>-8.2085517878812908E-2</v>
      </c>
      <c r="G7" s="4">
        <f t="shared" si="6"/>
        <v>1.5625E-2</v>
      </c>
      <c r="H7" s="1" t="str">
        <f>IF(OR(ABS(F7)&lt;=CONFIG!$B$5,G7&lt;=CONFIG!$B$5),"✓","→")</f>
        <v>→</v>
      </c>
    </row>
    <row r="8" spans="1:8" x14ac:dyDescent="0.3">
      <c r="A8" s="7">
        <f t="shared" si="0"/>
        <v>6</v>
      </c>
      <c r="B8" s="4">
        <f t="shared" si="1"/>
        <v>1.765625</v>
      </c>
      <c r="C8" s="4">
        <f t="shared" si="2"/>
        <v>1.78125</v>
      </c>
      <c r="D8" s="4">
        <f t="shared" si="3"/>
        <v>1.7734375</v>
      </c>
      <c r="E8" s="4">
        <f t="shared" si="4"/>
        <v>-8.2085517878812908E-2</v>
      </c>
      <c r="F8" s="4">
        <f t="shared" si="5"/>
        <v>-3.8498954300466792E-2</v>
      </c>
      <c r="G8" s="4">
        <f t="shared" si="6"/>
        <v>7.8125E-3</v>
      </c>
      <c r="H8" s="1" t="str">
        <f>IF(OR(ABS(F8)&lt;=CONFIG!$B$5,G8&lt;=CONFIG!$B$5),"✓","→")</f>
        <v>→</v>
      </c>
    </row>
    <row r="9" spans="1:8" x14ac:dyDescent="0.3">
      <c r="A9" s="7">
        <f t="shared" si="0"/>
        <v>7</v>
      </c>
      <c r="B9" s="4">
        <f t="shared" si="1"/>
        <v>1.7734375</v>
      </c>
      <c r="C9" s="4">
        <f t="shared" si="2"/>
        <v>1.78125</v>
      </c>
      <c r="D9" s="4">
        <f t="shared" si="3"/>
        <v>1.77734375</v>
      </c>
      <c r="E9" s="4">
        <f t="shared" si="4"/>
        <v>-3.8498954300466792E-2</v>
      </c>
      <c r="F9" s="4">
        <f t="shared" si="5"/>
        <v>-1.6455143251628002E-2</v>
      </c>
      <c r="G9" s="4">
        <f t="shared" si="6"/>
        <v>3.90625E-3</v>
      </c>
      <c r="H9" s="1" t="str">
        <f>IF(OR(ABS(F9)&lt;=CONFIG!$B$5,G9&lt;=CONFIG!$B$5),"✓","→")</f>
        <v>→</v>
      </c>
    </row>
    <row r="10" spans="1:8" x14ac:dyDescent="0.3">
      <c r="A10" s="7">
        <f t="shared" si="0"/>
        <v>8</v>
      </c>
      <c r="B10" s="4">
        <f t="shared" si="1"/>
        <v>1.77734375</v>
      </c>
      <c r="C10" s="4">
        <f t="shared" si="2"/>
        <v>1.78125</v>
      </c>
      <c r="D10" s="4">
        <f t="shared" si="3"/>
        <v>1.779296875</v>
      </c>
      <c r="E10" s="4">
        <f t="shared" si="4"/>
        <v>-1.6455143251628002E-2</v>
      </c>
      <c r="F10" s="4">
        <f t="shared" si="5"/>
        <v>-5.3704410824852999E-3</v>
      </c>
      <c r="G10" s="4">
        <f t="shared" si="6"/>
        <v>1.953125E-3</v>
      </c>
      <c r="H10" s="1" t="str">
        <f>IF(OR(ABS(F10)&lt;=CONFIG!$B$5,G10&lt;=CONFIG!$B$5),"✓","→")</f>
        <v>→</v>
      </c>
    </row>
    <row r="11" spans="1:8" x14ac:dyDescent="0.3">
      <c r="A11" s="7">
        <f t="shared" si="0"/>
        <v>9</v>
      </c>
      <c r="B11" s="4">
        <f t="shared" si="1"/>
        <v>1.779296875</v>
      </c>
      <c r="C11" s="4">
        <f t="shared" si="2"/>
        <v>1.78125</v>
      </c>
      <c r="D11" s="4">
        <f t="shared" si="3"/>
        <v>1.7802734375</v>
      </c>
      <c r="E11" s="4">
        <f t="shared" si="4"/>
        <v>-5.3704410824852999E-3</v>
      </c>
      <c r="F11" s="4">
        <f t="shared" si="5"/>
        <v>1.8762969750696357E-4</v>
      </c>
      <c r="G11" s="4">
        <f t="shared" si="6"/>
        <v>9.765625E-4</v>
      </c>
      <c r="H11" s="1" t="str">
        <f>IF(OR(ABS(F11)&lt;=CONFIG!$B$5,G11&lt;=CONFIG!$B$5),"✓","→")</f>
        <v>→</v>
      </c>
    </row>
    <row r="12" spans="1:8" x14ac:dyDescent="0.3">
      <c r="A12" s="7">
        <f t="shared" si="0"/>
        <v>10</v>
      </c>
      <c r="B12" s="4">
        <f t="shared" si="1"/>
        <v>1.779296875</v>
      </c>
      <c r="C12" s="4">
        <f t="shared" si="2"/>
        <v>1.7802734375</v>
      </c>
      <c r="D12" s="4">
        <f t="shared" si="3"/>
        <v>1.77978515625</v>
      </c>
      <c r="E12" s="4">
        <f t="shared" si="4"/>
        <v>-5.3704410824852999E-3</v>
      </c>
      <c r="F12" s="4">
        <f t="shared" si="5"/>
        <v>-2.5927162781558266E-3</v>
      </c>
      <c r="G12" s="4">
        <f t="shared" si="6"/>
        <v>4.8828125E-4</v>
      </c>
      <c r="H12" s="1" t="str">
        <f>IF(OR(ABS(F12)&lt;=CONFIG!$B$5,G12&lt;=CONFIG!$B$5),"✓","→")</f>
        <v>→</v>
      </c>
    </row>
    <row r="13" spans="1:8" x14ac:dyDescent="0.3">
      <c r="A13" s="7">
        <f t="shared" si="0"/>
        <v>11</v>
      </c>
      <c r="B13" s="4">
        <f t="shared" si="1"/>
        <v>1.77978515625</v>
      </c>
      <c r="C13" s="4">
        <f t="shared" si="2"/>
        <v>1.7802734375</v>
      </c>
      <c r="D13" s="4">
        <f t="shared" si="3"/>
        <v>1.780029296875</v>
      </c>
      <c r="E13" s="4">
        <f t="shared" si="4"/>
        <v>-2.5927162781558266E-3</v>
      </c>
      <c r="F13" s="4">
        <f t="shared" si="5"/>
        <v>-1.2028709825662176E-3</v>
      </c>
      <c r="G13" s="4">
        <f t="shared" si="6"/>
        <v>2.44140625E-4</v>
      </c>
      <c r="H13" s="1" t="str">
        <f>IF(OR(ABS(F13)&lt;=CONFIG!$B$5,G13&lt;=CONFIG!$B$5),"✓","→")</f>
        <v>→</v>
      </c>
    </row>
    <row r="14" spans="1:8" x14ac:dyDescent="0.3">
      <c r="A14" s="7">
        <f t="shared" si="0"/>
        <v>12</v>
      </c>
      <c r="B14" s="4">
        <f t="shared" si="1"/>
        <v>1.780029296875</v>
      </c>
      <c r="C14" s="4">
        <f t="shared" si="2"/>
        <v>1.7802734375</v>
      </c>
      <c r="D14" s="4">
        <f t="shared" si="3"/>
        <v>1.7801513671875</v>
      </c>
      <c r="E14" s="4">
        <f t="shared" si="4"/>
        <v>-1.2028709825662176E-3</v>
      </c>
      <c r="F14" s="4">
        <f t="shared" si="5"/>
        <v>-5.0770257131826924E-4</v>
      </c>
      <c r="G14" s="4">
        <f t="shared" si="6"/>
        <v>1.220703125E-4</v>
      </c>
      <c r="H14" s="1" t="str">
        <f>IF(OR(ABS(F14)&lt;=CONFIG!$B$5,G14&lt;=CONFIG!$B$5),"✓","→")</f>
        <v>→</v>
      </c>
    </row>
    <row r="15" spans="1:8" x14ac:dyDescent="0.3">
      <c r="A15" s="7">
        <f t="shared" si="0"/>
        <v>13</v>
      </c>
      <c r="B15" s="4">
        <f t="shared" si="1"/>
        <v>1.7801513671875</v>
      </c>
      <c r="C15" s="4">
        <f t="shared" si="2"/>
        <v>1.7802734375</v>
      </c>
      <c r="D15" s="4">
        <f t="shared" si="3"/>
        <v>1.78021240234375</v>
      </c>
      <c r="E15" s="4">
        <f t="shared" si="4"/>
        <v>-5.0770257131826924E-4</v>
      </c>
      <c r="F15" s="4">
        <f t="shared" si="5"/>
        <v>-1.6005691981924031E-4</v>
      </c>
      <c r="G15" s="4">
        <f t="shared" si="6"/>
        <v>6.103515625E-5</v>
      </c>
      <c r="H15" s="1" t="str">
        <f>IF(OR(ABS(F15)&lt;=CONFIG!$B$5,G15&lt;=CONFIG!$B$5),"✓","→")</f>
        <v>→</v>
      </c>
    </row>
    <row r="16" spans="1:8" x14ac:dyDescent="0.3">
      <c r="A16" s="7">
        <f t="shared" si="0"/>
        <v>14</v>
      </c>
      <c r="B16" s="4">
        <f t="shared" si="1"/>
        <v>1.78021240234375</v>
      </c>
      <c r="C16" s="4">
        <f t="shared" si="2"/>
        <v>1.7802734375</v>
      </c>
      <c r="D16" s="4">
        <f t="shared" si="3"/>
        <v>1.780242919921875</v>
      </c>
      <c r="E16" s="4">
        <f t="shared" si="4"/>
        <v>-1.6005691981924031E-4</v>
      </c>
      <c r="F16" s="4">
        <f t="shared" si="5"/>
        <v>1.3781268026313853E-5</v>
      </c>
      <c r="G16" s="4">
        <f t="shared" si="6"/>
        <v>3.0517578125E-5</v>
      </c>
      <c r="H16" s="1" t="str">
        <f>IF(OR(ABS(F16)&lt;=CONFIG!$B$5,G16&lt;=CONFIG!$B$5),"✓","→")</f>
        <v>→</v>
      </c>
    </row>
    <row r="17" spans="1:8" x14ac:dyDescent="0.3">
      <c r="A17" s="7">
        <f t="shared" si="0"/>
        <v>15</v>
      </c>
      <c r="B17" s="4">
        <f t="shared" si="1"/>
        <v>1.78021240234375</v>
      </c>
      <c r="C17" s="4">
        <f t="shared" si="2"/>
        <v>1.780242919921875</v>
      </c>
      <c r="D17" s="4">
        <f t="shared" si="3"/>
        <v>1.7802276611328125</v>
      </c>
      <c r="E17" s="4">
        <f t="shared" si="4"/>
        <v>-1.6005691981924031E-4</v>
      </c>
      <c r="F17" s="4">
        <f t="shared" si="5"/>
        <v>-7.3139106088859762E-5</v>
      </c>
      <c r="G17" s="4">
        <f t="shared" si="6"/>
        <v>1.52587890625E-5</v>
      </c>
      <c r="H17" s="1" t="str">
        <f>IF(OR(ABS(F17)&lt;=CONFIG!$B$5,G17&lt;=CONFIG!$B$5),"✓","→")</f>
        <v>→</v>
      </c>
    </row>
    <row r="18" spans="1:8" x14ac:dyDescent="0.3">
      <c r="A18" s="7">
        <f t="shared" si="0"/>
        <v>16</v>
      </c>
      <c r="B18" s="4">
        <f t="shared" si="1"/>
        <v>1.7802276611328125</v>
      </c>
      <c r="C18" s="4">
        <f t="shared" si="2"/>
        <v>1.780242919921875</v>
      </c>
      <c r="D18" s="4">
        <f t="shared" si="3"/>
        <v>1.7802352905273438</v>
      </c>
      <c r="E18" s="4">
        <f t="shared" si="4"/>
        <v>-7.3139106088859762E-5</v>
      </c>
      <c r="F18" s="4">
        <f t="shared" si="5"/>
        <v>-2.9679239080593334E-5</v>
      </c>
      <c r="G18" s="4">
        <f t="shared" si="6"/>
        <v>7.62939453125E-6</v>
      </c>
      <c r="H18" s="1" t="str">
        <f>IF(OR(ABS(F18)&lt;=CONFIG!$B$5,G18&lt;=CONFIG!$B$5),"✓","→")</f>
        <v>→</v>
      </c>
    </row>
    <row r="19" spans="1:8" x14ac:dyDescent="0.3">
      <c r="A19" s="7">
        <f t="shared" si="0"/>
        <v>17</v>
      </c>
      <c r="B19" s="4">
        <f t="shared" si="1"/>
        <v>1.7802352905273438</v>
      </c>
      <c r="C19" s="4">
        <f t="shared" si="2"/>
        <v>1.780242919921875</v>
      </c>
      <c r="D19" s="4">
        <f t="shared" si="3"/>
        <v>1.7802391052246094</v>
      </c>
      <c r="E19" s="4">
        <f t="shared" si="4"/>
        <v>-2.9679239080593334E-5</v>
      </c>
      <c r="F19" s="4">
        <f t="shared" si="5"/>
        <v>-7.9490655400249466E-6</v>
      </c>
      <c r="G19" s="4">
        <f t="shared" si="6"/>
        <v>3.814697265625E-6</v>
      </c>
      <c r="H19" s="1" t="str">
        <f>IF(OR(ABS(F19)&lt;=CONFIG!$B$5,G19&lt;=CONFIG!$B$5),"✓","→")</f>
        <v>→</v>
      </c>
    </row>
    <row r="20" spans="1:8" x14ac:dyDescent="0.3">
      <c r="A20" s="7">
        <f t="shared" si="0"/>
        <v>18</v>
      </c>
      <c r="B20" s="4">
        <f t="shared" si="1"/>
        <v>1.7802391052246094</v>
      </c>
      <c r="C20" s="4">
        <f t="shared" si="2"/>
        <v>1.780242919921875</v>
      </c>
      <c r="D20" s="4">
        <f t="shared" si="3"/>
        <v>1.7802410125732422</v>
      </c>
      <c r="E20" s="4">
        <f t="shared" si="4"/>
        <v>-7.9490655400249466E-6</v>
      </c>
      <c r="F20" s="4">
        <f t="shared" si="5"/>
        <v>2.9160812404782632E-6</v>
      </c>
      <c r="G20" s="4">
        <f t="shared" si="6"/>
        <v>1.9073486328125E-6</v>
      </c>
      <c r="H20" s="1" t="str">
        <f>IF(OR(ABS(F20)&lt;=CONFIG!$B$5,G20&lt;=CONFIG!$B$5),"✓","→")</f>
        <v>→</v>
      </c>
    </row>
    <row r="21" spans="1:8" x14ac:dyDescent="0.3">
      <c r="A21" s="7">
        <f t="shared" si="0"/>
        <v>19</v>
      </c>
      <c r="B21" s="4">
        <f t="shared" si="1"/>
        <v>1.7802391052246094</v>
      </c>
      <c r="C21" s="4">
        <f t="shared" si="2"/>
        <v>1.7802410125732422</v>
      </c>
      <c r="D21" s="4">
        <f t="shared" si="3"/>
        <v>1.7802400588989258</v>
      </c>
      <c r="E21" s="4">
        <f t="shared" si="4"/>
        <v>-7.9490655400249466E-6</v>
      </c>
      <c r="F21" s="4">
        <f t="shared" si="5"/>
        <v>-2.516497151106023E-6</v>
      </c>
      <c r="G21" s="4">
        <f t="shared" si="6"/>
        <v>9.5367431640625E-7</v>
      </c>
      <c r="H21" s="1" t="str">
        <f>IF(OR(ABS(F21)&lt;=CONFIG!$B$5,G21&lt;=CONFIG!$B$5),"✓","→")</f>
        <v>✓</v>
      </c>
    </row>
    <row r="22" spans="1:8" x14ac:dyDescent="0.3">
      <c r="A22" s="7">
        <f t="shared" si="0"/>
        <v>20</v>
      </c>
      <c r="B22" s="4">
        <f t="shared" si="1"/>
        <v>1.7802400588989258</v>
      </c>
      <c r="C22" s="4">
        <f t="shared" si="2"/>
        <v>1.7802410125732422</v>
      </c>
      <c r="D22" s="4">
        <f t="shared" si="3"/>
        <v>1.780240535736084</v>
      </c>
      <c r="E22" s="4">
        <f t="shared" si="4"/>
        <v>-2.516497151106023E-6</v>
      </c>
      <c r="F22" s="4">
        <f t="shared" si="5"/>
        <v>1.9979079457499438E-7</v>
      </c>
      <c r="G22" s="4">
        <f t="shared" si="6"/>
        <v>4.76837158203125E-7</v>
      </c>
      <c r="H22" s="1" t="str">
        <f>IF(OR(ABS(F22)&lt;=CONFIG!$B$5,G22&lt;=CONFIG!$B$5),"✓","→")</f>
        <v>✓</v>
      </c>
    </row>
    <row r="23" spans="1:8" x14ac:dyDescent="0.3">
      <c r="A23" s="7">
        <f t="shared" si="0"/>
        <v>21</v>
      </c>
      <c r="B23" s="4">
        <f t="shared" si="1"/>
        <v>1.7802400588989258</v>
      </c>
      <c r="C23" s="4">
        <f t="shared" si="2"/>
        <v>1.780240535736084</v>
      </c>
      <c r="D23" s="4">
        <f t="shared" si="3"/>
        <v>1.7802402973175049</v>
      </c>
      <c r="E23" s="4">
        <f t="shared" si="4"/>
        <v>-2.516497151106023E-6</v>
      </c>
      <c r="F23" s="4">
        <f t="shared" si="5"/>
        <v>-1.1583534913484073E-6</v>
      </c>
      <c r="G23" s="4">
        <f t="shared" si="6"/>
        <v>2.384185791015625E-7</v>
      </c>
      <c r="H23" s="1" t="str">
        <f>IF(OR(ABS(F23)&lt;=CONFIG!$B$5,G23&lt;=CONFIG!$B$5),"✓","→")</f>
        <v>✓</v>
      </c>
    </row>
    <row r="24" spans="1:8" x14ac:dyDescent="0.3">
      <c r="A24" s="1"/>
      <c r="B24" s="3"/>
      <c r="C24" s="3"/>
      <c r="D24" s="3"/>
      <c r="E24" s="3"/>
      <c r="F24" s="3"/>
      <c r="G24" s="3"/>
      <c r="H24" s="3"/>
    </row>
    <row r="30" spans="1:8" x14ac:dyDescent="0.3">
      <c r="D30" s="9"/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EB3D6-375E-426F-9B12-119BA2E6A84F}">
  <dimension ref="A1:D11"/>
  <sheetViews>
    <sheetView workbookViewId="0">
      <selection activeCell="B6" sqref="B6"/>
    </sheetView>
  </sheetViews>
  <sheetFormatPr baseColWidth="10" defaultRowHeight="16.5" x14ac:dyDescent="0.3"/>
  <cols>
    <col min="1" max="1" width="16.875" customWidth="1"/>
    <col min="2" max="2" width="11.5" customWidth="1"/>
    <col min="3" max="3" width="13.25" customWidth="1"/>
  </cols>
  <sheetData>
    <row r="1" spans="1:4" x14ac:dyDescent="0.3">
      <c r="A1" s="16" t="s">
        <v>19</v>
      </c>
      <c r="B1" s="16"/>
      <c r="C1" s="16"/>
      <c r="D1" s="3"/>
    </row>
    <row r="2" spans="1:4" x14ac:dyDescent="0.3">
      <c r="A2" s="19" t="s">
        <v>20</v>
      </c>
      <c r="B2" s="19"/>
      <c r="C2" s="19"/>
      <c r="D2" s="3"/>
    </row>
    <row r="3" spans="1:4" x14ac:dyDescent="0.3">
      <c r="A3" s="3"/>
      <c r="B3" s="3"/>
      <c r="C3" s="3"/>
      <c r="D3" s="3"/>
    </row>
    <row r="4" spans="1:4" x14ac:dyDescent="0.3">
      <c r="A4" s="8" t="s">
        <v>11</v>
      </c>
      <c r="B4" s="3">
        <f>'RAÍZ 1'!D22</f>
        <v>-1.2340936660766602</v>
      </c>
      <c r="C4" s="3">
        <f>'RAÍZ 1'!F22</f>
        <v>-2.9526938138957348E-6</v>
      </c>
      <c r="D4" s="3"/>
    </row>
    <row r="5" spans="1:4" x14ac:dyDescent="0.3">
      <c r="A5" s="8" t="s">
        <v>12</v>
      </c>
      <c r="B5" s="3">
        <f>COUNTIF('RAÍZ 1'!H3:H22,"→")+1</f>
        <v>20</v>
      </c>
      <c r="C5" s="3"/>
      <c r="D5" s="3"/>
    </row>
    <row r="6" spans="1:4" x14ac:dyDescent="0.3">
      <c r="A6" s="3"/>
      <c r="B6" s="3"/>
      <c r="C6" s="3"/>
      <c r="D6" s="3"/>
    </row>
    <row r="7" spans="1:4" x14ac:dyDescent="0.3">
      <c r="A7" s="6" t="s">
        <v>13</v>
      </c>
      <c r="B7" s="3">
        <f>'RAÍZ 2'!D22</f>
        <v>0.31546688079833984</v>
      </c>
      <c r="C7" s="1">
        <f>'RAÍZ 2'!F22</f>
        <v>-2.814130159345396E-6</v>
      </c>
      <c r="D7" s="3"/>
    </row>
    <row r="8" spans="1:4" x14ac:dyDescent="0.3">
      <c r="A8" s="6" t="s">
        <v>12</v>
      </c>
      <c r="B8" s="1">
        <f>COUNTIF('RAÍZ 2'!H3:H22,"→")+1</f>
        <v>19</v>
      </c>
      <c r="C8" s="3"/>
      <c r="D8" s="3"/>
    </row>
    <row r="9" spans="1:4" x14ac:dyDescent="0.3">
      <c r="A9" s="3"/>
      <c r="B9" s="3"/>
      <c r="C9" s="3"/>
      <c r="D9" s="3"/>
    </row>
    <row r="10" spans="1:4" x14ac:dyDescent="0.3">
      <c r="A10" s="6" t="s">
        <v>18</v>
      </c>
      <c r="B10" s="3">
        <f>'RAÍZ 3'!D22</f>
        <v>1.780240535736084</v>
      </c>
      <c r="C10" s="1">
        <f>'RAÍZ 3'!F22</f>
        <v>1.9979079457499438E-7</v>
      </c>
      <c r="D10" s="3"/>
    </row>
    <row r="11" spans="1:4" x14ac:dyDescent="0.3">
      <c r="A11" s="6" t="s">
        <v>12</v>
      </c>
      <c r="B11" s="1">
        <f>COUNTIF('RAÍZ 3'!H3:H22,"→")+1</f>
        <v>19</v>
      </c>
      <c r="C11" s="3"/>
    </row>
  </sheetData>
  <mergeCells count="2">
    <mergeCell ref="A1:C1"/>
    <mergeCell ref="A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FD1CC-6F15-4F57-A539-34B5BBBCA37F}">
  <dimension ref="A1:G9"/>
  <sheetViews>
    <sheetView workbookViewId="0">
      <selection activeCell="G3" sqref="G3"/>
    </sheetView>
  </sheetViews>
  <sheetFormatPr baseColWidth="10" defaultRowHeight="16.5" x14ac:dyDescent="0.3"/>
  <sheetData>
    <row r="1" spans="1:7" x14ac:dyDescent="0.3">
      <c r="A1" s="18" t="s">
        <v>26</v>
      </c>
      <c r="B1" s="18"/>
      <c r="C1" s="18"/>
      <c r="D1" s="18"/>
      <c r="E1" s="18"/>
      <c r="F1" s="18"/>
      <c r="G1" s="18"/>
    </row>
    <row r="2" spans="1:7" x14ac:dyDescent="0.3">
      <c r="A2" s="11" t="s">
        <v>3</v>
      </c>
      <c r="B2" s="11" t="s">
        <v>25</v>
      </c>
      <c r="C2" s="11" t="s">
        <v>24</v>
      </c>
      <c r="D2" s="11" t="s">
        <v>23</v>
      </c>
      <c r="E2" s="11" t="s">
        <v>22</v>
      </c>
      <c r="F2" s="11" t="s">
        <v>8</v>
      </c>
      <c r="G2" s="11" t="s">
        <v>9</v>
      </c>
    </row>
    <row r="3" spans="1:7" x14ac:dyDescent="0.3">
      <c r="A3" s="11">
        <v>1</v>
      </c>
      <c r="B3" s="4">
        <v>-1</v>
      </c>
      <c r="C3" s="13">
        <f t="shared" ref="C3:C9" si="0">B3^3 - B3^2*EXP(-0.5*B3) - 3*B3 + 1</f>
        <v>1.3512787292998718</v>
      </c>
      <c r="D3" s="4">
        <f t="shared" ref="D3:D9" si="1">3*B3^2 - (2*B3*EXP(-0.5*B3) - 0.5*B3^2*EXP(-0.5*B3)) - 3</f>
        <v>4.1218031767503209</v>
      </c>
      <c r="E3" s="4">
        <f t="shared" ref="E3:E9" si="2">B3 - C3/D3</f>
        <v>-1.3278367916551601</v>
      </c>
      <c r="F3" s="4">
        <f t="shared" ref="F3:F9" si="3">ABS(E3-B3)</f>
        <v>0.32783679165516011</v>
      </c>
      <c r="G3" s="1" t="str">
        <f>IF(OR(ABS(C3)&lt;=CONFIG!$B$5,F3&lt;=CONFIG!$B$5),"✓","→")</f>
        <v>→</v>
      </c>
    </row>
    <row r="4" spans="1:7" x14ac:dyDescent="0.3">
      <c r="A4" s="11">
        <f t="shared" ref="A4:A9" si="4">A3+1</f>
        <v>2</v>
      </c>
      <c r="B4" s="4">
        <f t="shared" ref="B4:B9" si="5">E3</f>
        <v>-1.3278367916551601</v>
      </c>
      <c r="C4" s="13">
        <f t="shared" si="0"/>
        <v>-0.78238911225287255</v>
      </c>
      <c r="D4" s="4">
        <f t="shared" si="1"/>
        <v>9.1601630972725516</v>
      </c>
      <c r="E4" s="4">
        <f t="shared" si="2"/>
        <v>-1.2424246539077624</v>
      </c>
      <c r="F4" s="4">
        <f t="shared" si="3"/>
        <v>8.5412137747397754E-2</v>
      </c>
      <c r="G4" s="1" t="str">
        <f>IF(OR(ABS(C4)&lt;=CONFIG!$B$5,F4&lt;=CONFIG!$B$5),"✓","→")</f>
        <v>→</v>
      </c>
    </row>
    <row r="5" spans="1:7" x14ac:dyDescent="0.3">
      <c r="A5" s="11">
        <f t="shared" si="4"/>
        <v>3</v>
      </c>
      <c r="B5" s="4">
        <f t="shared" si="5"/>
        <v>-1.2424246539077624</v>
      </c>
      <c r="C5" s="13">
        <f t="shared" si="0"/>
        <v>-6.3513902615857099E-2</v>
      </c>
      <c r="D5" s="4">
        <f t="shared" si="1"/>
        <v>7.6920952116400816</v>
      </c>
      <c r="E5" s="4">
        <f t="shared" si="2"/>
        <v>-1.2341676184878492</v>
      </c>
      <c r="F5" s="4">
        <f t="shared" si="3"/>
        <v>8.2570354199131835E-3</v>
      </c>
      <c r="G5" s="1" t="str">
        <f>IF(OR(ABS(C5)&lt;=CONFIG!$B$5,F5&lt;=CONFIG!$B$5),"✓","→")</f>
        <v>→</v>
      </c>
    </row>
    <row r="6" spans="1:7" x14ac:dyDescent="0.3">
      <c r="A6" s="11">
        <f t="shared" si="4"/>
        <v>4</v>
      </c>
      <c r="B6" s="4">
        <f t="shared" si="5"/>
        <v>-1.2341676184878492</v>
      </c>
      <c r="C6" s="13">
        <f t="shared" si="0"/>
        <v>-5.6170813630496141E-4</v>
      </c>
      <c r="D6" s="4">
        <f t="shared" si="1"/>
        <v>7.556214308920179</v>
      </c>
      <c r="E6" s="4">
        <f t="shared" si="2"/>
        <v>-1.2340932812452379</v>
      </c>
      <c r="F6" s="4">
        <f t="shared" si="3"/>
        <v>7.4337242611299814E-5</v>
      </c>
      <c r="G6" s="1" t="str">
        <f>IF(OR(ABS(C6)&lt;=CONFIG!$B$5,F6&lt;=CONFIG!$B$5),"✓","→")</f>
        <v>→</v>
      </c>
    </row>
    <row r="7" spans="1:7" x14ac:dyDescent="0.3">
      <c r="A7" s="11">
        <f t="shared" si="4"/>
        <v>5</v>
      </c>
      <c r="B7" s="4">
        <f t="shared" si="5"/>
        <v>-1.2340932812452379</v>
      </c>
      <c r="C7" s="13">
        <f t="shared" si="0"/>
        <v>-4.5292842809629974E-8</v>
      </c>
      <c r="D7" s="4">
        <f t="shared" si="1"/>
        <v>7.5549957456323238</v>
      </c>
      <c r="E7" s="4">
        <f t="shared" si="2"/>
        <v>-1.2340932752501528</v>
      </c>
      <c r="F7" s="4">
        <f t="shared" si="3"/>
        <v>5.9950850950230006E-9</v>
      </c>
      <c r="G7" s="1" t="str">
        <f>IF(OR(ABS(C7)&lt;=CONFIG!$B$5,F7&lt;=CONFIG!$B$5),"✓","→")</f>
        <v>✓</v>
      </c>
    </row>
    <row r="8" spans="1:7" x14ac:dyDescent="0.3">
      <c r="A8" s="11">
        <f t="shared" si="4"/>
        <v>6</v>
      </c>
      <c r="B8" s="4">
        <f t="shared" si="5"/>
        <v>-1.2340932752501528</v>
      </c>
      <c r="C8" s="13">
        <f t="shared" si="0"/>
        <v>0</v>
      </c>
      <c r="D8" s="4">
        <f t="shared" si="1"/>
        <v>7.5549956473621158</v>
      </c>
      <c r="E8" s="4">
        <f t="shared" si="2"/>
        <v>-1.2340932752501528</v>
      </c>
      <c r="F8" s="4">
        <f t="shared" si="3"/>
        <v>0</v>
      </c>
      <c r="G8" s="1" t="str">
        <f>IF(OR(ABS(C8)&lt;=CONFIG!$B$5,F8&lt;=CONFIG!$B$5),"✓","→")</f>
        <v>✓</v>
      </c>
    </row>
    <row r="9" spans="1:7" x14ac:dyDescent="0.3">
      <c r="A9" s="11">
        <f t="shared" si="4"/>
        <v>7</v>
      </c>
      <c r="B9" s="4">
        <f t="shared" si="5"/>
        <v>-1.2340932752501528</v>
      </c>
      <c r="C9" s="13">
        <f t="shared" si="0"/>
        <v>0</v>
      </c>
      <c r="D9" s="4">
        <f t="shared" si="1"/>
        <v>7.5549956473621158</v>
      </c>
      <c r="E9" s="4">
        <f t="shared" si="2"/>
        <v>-1.2340932752501528</v>
      </c>
      <c r="F9" s="4">
        <f t="shared" si="3"/>
        <v>0</v>
      </c>
      <c r="G9" s="1" t="str">
        <f>IF(OR(ABS(C9)&lt;=CONFIG!$B$5,F9&lt;=CONFIG!$B$5),"✓","→")</f>
        <v>✓</v>
      </c>
    </row>
  </sheetData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7F65E-A4EE-4919-A4DD-2721E083B93D}">
  <dimension ref="A1:G8"/>
  <sheetViews>
    <sheetView workbookViewId="0">
      <selection activeCell="G3" sqref="G3"/>
    </sheetView>
  </sheetViews>
  <sheetFormatPr baseColWidth="10" defaultRowHeight="16.5" x14ac:dyDescent="0.3"/>
  <sheetData>
    <row r="1" spans="1:7" x14ac:dyDescent="0.3">
      <c r="A1" s="18" t="s">
        <v>26</v>
      </c>
      <c r="B1" s="18"/>
      <c r="C1" s="18"/>
      <c r="D1" s="18"/>
      <c r="E1" s="18"/>
      <c r="F1" s="18"/>
      <c r="G1" s="18"/>
    </row>
    <row r="2" spans="1:7" x14ac:dyDescent="0.3">
      <c r="A2" s="11" t="s">
        <v>3</v>
      </c>
      <c r="B2" s="11" t="s">
        <v>25</v>
      </c>
      <c r="C2" s="11" t="s">
        <v>24</v>
      </c>
      <c r="D2" s="11" t="s">
        <v>23</v>
      </c>
      <c r="E2" s="11" t="s">
        <v>22</v>
      </c>
      <c r="F2" s="11" t="s">
        <v>8</v>
      </c>
      <c r="G2" s="11" t="s">
        <v>9</v>
      </c>
    </row>
    <row r="3" spans="1:7" x14ac:dyDescent="0.3">
      <c r="A3" s="11">
        <v>1</v>
      </c>
      <c r="B3" s="4">
        <v>0.5</v>
      </c>
      <c r="C3" s="13">
        <f>B3^3 - B3^2*EXP(-0.5*B3) - 3*B3 + 1</f>
        <v>-0.56970019576785114</v>
      </c>
      <c r="D3" s="4">
        <f>3*B3^2 - (2*B3*EXP(-0.5*B3) - 0.5*B3^2*EXP(-0.5*B3)) - 3</f>
        <v>-2.9314506851874791</v>
      </c>
      <c r="E3" s="4">
        <f>B3 - C3/D3</f>
        <v>0.30565929399852199</v>
      </c>
      <c r="F3" s="4">
        <f>ABS(E3-B3)</f>
        <v>0.19434070600147801</v>
      </c>
      <c r="G3" s="1" t="str">
        <f>IF(OR(ABS(C3)&lt;=CONFIG!$B$5,F3&lt;=CONFIG!$B$5),"✓","→")</f>
        <v>→</v>
      </c>
    </row>
    <row r="4" spans="1:7" x14ac:dyDescent="0.3">
      <c r="A4" s="11">
        <f>A3+1</f>
        <v>2</v>
      </c>
      <c r="B4" s="4">
        <f>E3</f>
        <v>0.30565929399852199</v>
      </c>
      <c r="C4" s="13">
        <f>B4^3 - B4^2*EXP(-0.5*B4) - 3*B4 + 1</f>
        <v>3.1392470773618286E-2</v>
      </c>
      <c r="D4" s="4">
        <f>3*B4^2 - (2*B4*EXP(-0.5*B4) - 0.5*B4^2*EXP(-0.5*B4)) - 3</f>
        <v>-3.2043038796807681</v>
      </c>
      <c r="E4" s="4">
        <f>B4 - C4/D4</f>
        <v>0.31545626455823861</v>
      </c>
      <c r="F4" s="4">
        <f>ABS(E4-B4)</f>
        <v>9.7969705597166223E-3</v>
      </c>
      <c r="G4" s="1" t="str">
        <f>IF(OR(ABS(C4)&lt;=CONFIG!$B$5,F4&lt;=CONFIG!$B$5),"✓","→")</f>
        <v>→</v>
      </c>
    </row>
    <row r="5" spans="1:7" x14ac:dyDescent="0.3">
      <c r="A5" s="11">
        <f>A4+1</f>
        <v>3</v>
      </c>
      <c r="B5" s="4">
        <f>E4</f>
        <v>0.31545626455823861</v>
      </c>
      <c r="C5" s="13">
        <f>B5^3 - B5^2*EXP(-0.5*B5) - 3*B5 + 1</f>
        <v>3.113462393733446E-5</v>
      </c>
      <c r="D5" s="4">
        <f>3*B5^2 - (2*B5*EXP(-0.5*B5) - 0.5*B5^2*EXP(-0.5*B5)) - 3</f>
        <v>-3.1978170561237667</v>
      </c>
      <c r="E5" s="4">
        <f>B5 - C5/D5</f>
        <v>0.31546600076997022</v>
      </c>
      <c r="F5" s="4">
        <f>ABS(E5-B5)</f>
        <v>9.7362117316146524E-6</v>
      </c>
      <c r="G5" s="1" t="str">
        <f>IF(OR(ABS(C5)&lt;=CONFIG!$B$5,F5&lt;=CONFIG!$B$5),"✓","→")</f>
        <v>→</v>
      </c>
    </row>
    <row r="6" spans="1:7" x14ac:dyDescent="0.3">
      <c r="A6" s="11">
        <f>A5+1</f>
        <v>4</v>
      </c>
      <c r="B6" s="4">
        <f>E5</f>
        <v>0.31546600076997022</v>
      </c>
      <c r="C6" s="13">
        <f>B6^3 - B6^2*EXP(-0.5*B6) - 3*B6 + 1</f>
        <v>3.3282265832212943E-11</v>
      </c>
      <c r="D6" s="4">
        <f>3*B6^2 - (2*B6*EXP(-0.5*B6) - 0.5*B6^2*EXP(-0.5*B6)) - 3</f>
        <v>-3.19781021919554</v>
      </c>
      <c r="E6" s="4">
        <f>B6 - C6/D6</f>
        <v>0.31546600078037806</v>
      </c>
      <c r="F6" s="4">
        <f>ABS(E6-B6)</f>
        <v>1.0407841255499761E-11</v>
      </c>
      <c r="G6" s="1" t="str">
        <f>IF(OR(ABS(C6)&lt;=CONFIG!$B$5,F6&lt;=CONFIG!$B$5),"✓","→")</f>
        <v>✓</v>
      </c>
    </row>
    <row r="7" spans="1:7" x14ac:dyDescent="0.3">
      <c r="A7" s="11">
        <f>A6+1</f>
        <v>5</v>
      </c>
      <c r="B7" s="4">
        <f>E6</f>
        <v>0.31546600078037806</v>
      </c>
      <c r="C7" s="13">
        <f>B7^3 - B7^2*EXP(-0.5*B7) - 3*B7 + 1</f>
        <v>0</v>
      </c>
      <c r="D7" s="4">
        <f>3*B7^2 - (2*B7*EXP(-0.5*B7) - 0.5*B7^2*EXP(-0.5*B7)) - 3</f>
        <v>-3.1978102191882312</v>
      </c>
      <c r="E7" s="4">
        <f>B7 - C7/D7</f>
        <v>0.31546600078037806</v>
      </c>
      <c r="F7" s="4">
        <f>ABS(E7-B7)</f>
        <v>0</v>
      </c>
      <c r="G7" s="1" t="str">
        <f>IF(OR(ABS(C7)&lt;=CONFIG!$B$5,F7&lt;=CONFIG!$B$5),"✓","→")</f>
        <v>✓</v>
      </c>
    </row>
    <row r="8" spans="1:7" x14ac:dyDescent="0.3">
      <c r="A8" s="1"/>
      <c r="B8" s="4"/>
      <c r="C8" s="4"/>
      <c r="D8" s="4"/>
      <c r="F8" s="4"/>
      <c r="G8" s="1"/>
    </row>
  </sheetData>
  <mergeCells count="1"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A3557-F58B-433D-92B1-91216682D1BE}">
  <dimension ref="A1:G8"/>
  <sheetViews>
    <sheetView workbookViewId="0">
      <selection activeCell="G3" sqref="G3"/>
    </sheetView>
  </sheetViews>
  <sheetFormatPr baseColWidth="10" defaultRowHeight="16.5" x14ac:dyDescent="0.3"/>
  <sheetData>
    <row r="1" spans="1:7" x14ac:dyDescent="0.3">
      <c r="A1" s="18" t="s">
        <v>26</v>
      </c>
      <c r="B1" s="18"/>
      <c r="C1" s="18"/>
      <c r="D1" s="18"/>
      <c r="E1" s="18"/>
      <c r="F1" s="18"/>
      <c r="G1" s="18"/>
    </row>
    <row r="2" spans="1:7" x14ac:dyDescent="0.3">
      <c r="A2" s="11" t="s">
        <v>3</v>
      </c>
      <c r="B2" s="11" t="s">
        <v>25</v>
      </c>
      <c r="C2" s="11" t="s">
        <v>24</v>
      </c>
      <c r="D2" s="11" t="s">
        <v>23</v>
      </c>
      <c r="E2" s="11" t="s">
        <v>22</v>
      </c>
      <c r="F2" s="11" t="s">
        <v>8</v>
      </c>
      <c r="G2" s="11" t="s">
        <v>9</v>
      </c>
    </row>
    <row r="3" spans="1:7" x14ac:dyDescent="0.3">
      <c r="A3" s="11">
        <v>1</v>
      </c>
      <c r="B3" s="4">
        <v>1.8</v>
      </c>
      <c r="C3" s="13">
        <f>B3^3 - B3^2*EXP(-0.5*B3) - 3*B3 + 1</f>
        <v>0.11471430244045955</v>
      </c>
      <c r="D3" s="4">
        <f>3*B3^2 - (2*B3*EXP(-0.5*B3) - 0.5*B3^2*EXP(-0.5*B3)) - 3</f>
        <v>5.9149920737136146</v>
      </c>
      <c r="E3" s="4">
        <f>B3 - C3/D3</f>
        <v>1.7806061781637454</v>
      </c>
      <c r="F3" s="14">
        <f>ABS(E3-B3)</f>
        <v>1.9393821836254599E-2</v>
      </c>
      <c r="G3" s="1" t="str">
        <f>IF(OR(ABS(C3)&lt;=CONFIG!$B$5,F3&lt;=CONFIG!$B$5),"✓","→")</f>
        <v>→</v>
      </c>
    </row>
    <row r="4" spans="1:7" x14ac:dyDescent="0.3">
      <c r="A4" s="11">
        <f>A3+1</f>
        <v>2</v>
      </c>
      <c r="B4" s="4">
        <f>E3</f>
        <v>1.7806061781637454</v>
      </c>
      <c r="C4" s="13">
        <f>B4^3 - B4^2*EXP(-0.5*B4) - 3*B4 + 1</f>
        <v>2.0838065532355898E-3</v>
      </c>
      <c r="D4" s="4">
        <f>3*B4^2 - (2*B4*EXP(-0.5*B4) - 0.5*B4^2*EXP(-0.5*B4)) - 3</f>
        <v>5.7004926573835668</v>
      </c>
      <c r="E4" s="4">
        <f>B4 - C4/D4</f>
        <v>1.780240629661453</v>
      </c>
      <c r="F4" s="14">
        <f>ABS(E4-B4)</f>
        <v>3.6554850229242319E-4</v>
      </c>
      <c r="G4" s="1" t="str">
        <f>IF(OR(ABS(C4)&lt;=CONFIG!$B$5,F4&lt;=CONFIG!$B$5),"✓","→")</f>
        <v>→</v>
      </c>
    </row>
    <row r="5" spans="1:7" x14ac:dyDescent="0.3">
      <c r="A5" s="11">
        <f>A4+1</f>
        <v>3</v>
      </c>
      <c r="B5" s="4">
        <f>E4</f>
        <v>1.780240629661453</v>
      </c>
      <c r="C5" s="13">
        <f>B5^3 - B5^2*EXP(-0.5*B5) - 3*B5 + 1</f>
        <v>7.3483401319407449E-7</v>
      </c>
      <c r="D5" s="4">
        <f>3*B5^2 - (2*B5*EXP(-0.5*B5) - 0.5*B5^2*EXP(-0.5*B5)) - 3</f>
        <v>5.6964723516064684</v>
      </c>
      <c r="E5" s="4">
        <f>B5 - C5/D5</f>
        <v>1.7802405006633699</v>
      </c>
      <c r="F5" s="14">
        <f>ABS(E5-B5)</f>
        <v>1.289980831042925E-7</v>
      </c>
      <c r="G5" s="1" t="str">
        <f>IF(OR(ABS(C5)&lt;=CONFIG!$B$5,F5&lt;=CONFIG!$B$5),"✓","→")</f>
        <v>✓</v>
      </c>
    </row>
    <row r="6" spans="1:7" x14ac:dyDescent="0.3">
      <c r="A6" s="11">
        <f>A5+1</f>
        <v>4</v>
      </c>
      <c r="B6" s="4">
        <f>E5</f>
        <v>1.7802405006633699</v>
      </c>
      <c r="C6" s="13">
        <f>B6^3 - B6^2*EXP(-0.5*B6) - 3*B6 + 1</f>
        <v>9.0594198809412774E-14</v>
      </c>
      <c r="D6" s="4">
        <f>3*B6^2 - (2*B6*EXP(-0.5*B6) - 0.5*B6^2*EXP(-0.5*B6)) - 3</f>
        <v>5.6964709330329111</v>
      </c>
      <c r="E6" s="4">
        <f>B6 - C6/D6</f>
        <v>1.7802405006633539</v>
      </c>
      <c r="F6" s="14">
        <f>ABS(E6-B6)</f>
        <v>1.5987211554602254E-14</v>
      </c>
      <c r="G6" s="1" t="str">
        <f>IF(OR(ABS(C6)&lt;=CONFIG!$B$5,F6&lt;=CONFIG!$B$5),"✓","→")</f>
        <v>✓</v>
      </c>
    </row>
    <row r="7" spans="1:7" x14ac:dyDescent="0.3">
      <c r="A7" s="11">
        <f>A6+1</f>
        <v>5</v>
      </c>
      <c r="B7" s="4">
        <f>E6</f>
        <v>1.7802405006633539</v>
      </c>
      <c r="C7" s="13">
        <f>B7^3 - B7^2*EXP(-0.5*B7) - 3*B7 + 1</f>
        <v>0</v>
      </c>
      <c r="D7" s="4">
        <f>3*B7^2 - (2*B7*EXP(-0.5*B7) - 0.5*B7^2*EXP(-0.5*B7)) - 3</f>
        <v>5.6964709330327352</v>
      </c>
      <c r="E7" s="4">
        <f>B7 - C7/D7</f>
        <v>1.7802405006633539</v>
      </c>
      <c r="F7" s="14">
        <f>ABS(E7-B7)</f>
        <v>0</v>
      </c>
      <c r="G7" s="1" t="str">
        <f>IF(OR(ABS(C7)&lt;=CONFIG!$B$5,F7&lt;=CONFIG!$B$5),"✓","→")</f>
        <v>✓</v>
      </c>
    </row>
    <row r="8" spans="1:7" x14ac:dyDescent="0.3">
      <c r="A8" s="1"/>
      <c r="B8" s="4"/>
      <c r="C8" s="4"/>
      <c r="D8" s="4"/>
      <c r="F8" s="4"/>
      <c r="G8" s="1"/>
    </row>
  </sheetData>
  <mergeCells count="1">
    <mergeCell ref="A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FEC38-2732-4766-BF1A-AB603D3723E4}">
  <dimension ref="A1:D11"/>
  <sheetViews>
    <sheetView workbookViewId="0">
      <selection activeCell="B6" sqref="B6"/>
    </sheetView>
  </sheetViews>
  <sheetFormatPr baseColWidth="10" defaultRowHeight="16.5" x14ac:dyDescent="0.3"/>
  <sheetData>
    <row r="1" spans="1:4" x14ac:dyDescent="0.3">
      <c r="A1" s="16" t="s">
        <v>19</v>
      </c>
      <c r="B1" s="16"/>
      <c r="C1" s="16"/>
      <c r="D1" s="3"/>
    </row>
    <row r="2" spans="1:4" x14ac:dyDescent="0.3">
      <c r="A2" s="19" t="s">
        <v>26</v>
      </c>
      <c r="B2" s="19"/>
      <c r="C2" s="19"/>
      <c r="D2" s="3"/>
    </row>
    <row r="3" spans="1:4" x14ac:dyDescent="0.3">
      <c r="A3" s="3"/>
      <c r="B3" s="3"/>
      <c r="C3" s="3"/>
      <c r="D3" s="3"/>
    </row>
    <row r="4" spans="1:4" x14ac:dyDescent="0.3">
      <c r="A4" s="8" t="s">
        <v>11</v>
      </c>
      <c r="B4" s="3">
        <f>'NEWTON=-1.0'!E6</f>
        <v>-1.2340932812452379</v>
      </c>
      <c r="C4" s="15">
        <f>'NEWTON=-1.0'!F6</f>
        <v>7.4337242611299814E-5</v>
      </c>
      <c r="D4" s="3"/>
    </row>
    <row r="5" spans="1:4" x14ac:dyDescent="0.3">
      <c r="A5" s="8" t="s">
        <v>12</v>
      </c>
      <c r="B5" s="3">
        <f>COUNTIF('NEWTON=-1.0'!G2:G21,"→")+1</f>
        <v>5</v>
      </c>
      <c r="C5" s="3"/>
      <c r="D5" s="3"/>
    </row>
    <row r="6" spans="1:4" x14ac:dyDescent="0.3">
      <c r="A6" s="3"/>
      <c r="B6" s="3"/>
      <c r="C6" s="3"/>
      <c r="D6" s="3"/>
    </row>
    <row r="7" spans="1:4" x14ac:dyDescent="0.3">
      <c r="A7" s="11" t="s">
        <v>13</v>
      </c>
      <c r="B7" s="3">
        <f>'NEWTON=0.5'!E6</f>
        <v>0.31546600078037806</v>
      </c>
      <c r="C7" s="14">
        <f>'NEWTON=0.5'!F6</f>
        <v>1.0407841255499761E-11</v>
      </c>
      <c r="D7" s="3"/>
    </row>
    <row r="8" spans="1:4" x14ac:dyDescent="0.3">
      <c r="A8" s="11" t="s">
        <v>12</v>
      </c>
      <c r="B8" s="1">
        <f>COUNTIF('NEWTON=0.5'!G3:G21,"→")+1</f>
        <v>4</v>
      </c>
      <c r="C8" s="3"/>
      <c r="D8" s="3"/>
    </row>
    <row r="9" spans="1:4" x14ac:dyDescent="0.3">
      <c r="A9" s="3"/>
      <c r="B9" s="3"/>
      <c r="C9" s="3"/>
      <c r="D9" s="3"/>
    </row>
    <row r="10" spans="1:4" x14ac:dyDescent="0.3">
      <c r="A10" s="11" t="s">
        <v>18</v>
      </c>
      <c r="B10" s="3">
        <f>'NEWTON=1.8'!E6</f>
        <v>1.7802405006633539</v>
      </c>
      <c r="C10" s="14">
        <f>'NEWTON=1.8'!F6</f>
        <v>1.5987211554602254E-14</v>
      </c>
      <c r="D10" s="3"/>
    </row>
    <row r="11" spans="1:4" x14ac:dyDescent="0.3">
      <c r="A11" s="11" t="s">
        <v>12</v>
      </c>
      <c r="B11" s="1">
        <f>COUNTIF('NEWTON=1.8'!G3:G21,"→")+1</f>
        <v>3</v>
      </c>
      <c r="C11" s="3"/>
    </row>
  </sheetData>
  <mergeCells count="2">
    <mergeCell ref="A1:C1"/>
    <mergeCell ref="A2:C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83108-1E00-4011-9E72-185D50759733}">
  <dimension ref="A1:H131"/>
  <sheetViews>
    <sheetView zoomScale="98" zoomScaleNormal="98" workbookViewId="0">
      <selection activeCell="J9" sqref="J9"/>
    </sheetView>
  </sheetViews>
  <sheetFormatPr baseColWidth="10" defaultRowHeight="16.5" x14ac:dyDescent="0.3"/>
  <cols>
    <col min="1" max="4" width="11.5" customWidth="1"/>
    <col min="5" max="5" width="14.25" customWidth="1"/>
    <col min="6" max="6" width="13.25" customWidth="1"/>
    <col min="7" max="8" width="11.5" customWidth="1"/>
  </cols>
  <sheetData>
    <row r="1" spans="1:8" x14ac:dyDescent="0.3">
      <c r="A1" s="18" t="s">
        <v>30</v>
      </c>
      <c r="B1" s="18"/>
      <c r="C1" s="18"/>
      <c r="D1" s="18"/>
      <c r="E1" s="18"/>
      <c r="F1" s="18"/>
      <c r="G1" s="18"/>
      <c r="H1" s="18"/>
    </row>
    <row r="2" spans="1:8" x14ac:dyDescent="0.3">
      <c r="A2" s="11" t="s">
        <v>3</v>
      </c>
      <c r="B2" s="11" t="s">
        <v>28</v>
      </c>
      <c r="C2" s="11" t="s">
        <v>25</v>
      </c>
      <c r="D2" s="11" t="s">
        <v>27</v>
      </c>
      <c r="E2" s="11" t="s">
        <v>24</v>
      </c>
      <c r="F2" s="11" t="s">
        <v>22</v>
      </c>
      <c r="G2" s="11" t="s">
        <v>8</v>
      </c>
      <c r="H2" s="11" t="s">
        <v>9</v>
      </c>
    </row>
    <row r="3" spans="1:8" x14ac:dyDescent="0.3">
      <c r="A3" s="11">
        <v>1</v>
      </c>
      <c r="B3" s="4">
        <v>-1.5</v>
      </c>
      <c r="C3" s="4">
        <v>-0.5</v>
      </c>
      <c r="D3" s="4">
        <f>B3^3 - B3^2*EXP(-0.5*B3) - 3*B3 + 1</f>
        <v>-2.6382500373785192</v>
      </c>
      <c r="E3" s="4">
        <f>C3^3 - C3^2*EXP(-0.5*C3) - 3*C3 + 1</f>
        <v>2.0539936458280645</v>
      </c>
      <c r="F3" s="4">
        <f t="shared" ref="F3:F12" si="0">C3 - E3*(C3-B3)/(E3-D3)</f>
        <v>-0.93774232211750919</v>
      </c>
      <c r="G3" s="14">
        <f t="shared" ref="G3:G12" si="1">ABS(F3-C3)</f>
        <v>0.43774232211750919</v>
      </c>
      <c r="H3" s="1" t="str">
        <f>IF(OR(ABS(E3)&lt;CONFIG!$B$5,G3&lt;CONFIG!$B$5),"✓","→")</f>
        <v>→</v>
      </c>
    </row>
    <row r="4" spans="1:8" x14ac:dyDescent="0.3">
      <c r="A4" s="11">
        <f t="shared" ref="A4:A12" si="2">A3+1</f>
        <v>2</v>
      </c>
      <c r="B4" s="4">
        <f t="shared" ref="B4:B12" si="3">C3</f>
        <v>-0.5</v>
      </c>
      <c r="C4" s="4">
        <f t="shared" ref="C4:C12" si="4">F3</f>
        <v>-0.93774232211750919</v>
      </c>
      <c r="D4" s="4">
        <f t="shared" ref="D4:D12" si="5">E3</f>
        <v>2.0539936458280645</v>
      </c>
      <c r="E4" s="4">
        <f t="shared" ref="E4:E12" si="6">C4^3 - C4^2*EXP(-0.5*C4) - 3*C4 + 1</f>
        <v>1.5832286511261215</v>
      </c>
      <c r="F4" s="4">
        <f t="shared" si="0"/>
        <v>-2.4099125004157296</v>
      </c>
      <c r="G4" s="14">
        <f t="shared" si="1"/>
        <v>1.4721701782982204</v>
      </c>
      <c r="H4" s="1" t="str">
        <f>IF(OR(ABS(E4)&lt;CONFIG!$B$5,G4&lt;CONFIG!$B$5),"✓","→")</f>
        <v>→</v>
      </c>
    </row>
    <row r="5" spans="1:8" x14ac:dyDescent="0.3">
      <c r="A5" s="11">
        <f t="shared" si="2"/>
        <v>3</v>
      </c>
      <c r="B5" s="4">
        <f t="shared" si="3"/>
        <v>-0.93774232211750919</v>
      </c>
      <c r="C5" s="4">
        <f t="shared" si="4"/>
        <v>-2.4099125004157296</v>
      </c>
      <c r="D5" s="4">
        <f t="shared" si="5"/>
        <v>1.5832286511261215</v>
      </c>
      <c r="E5" s="4">
        <f t="shared" si="6"/>
        <v>-25.144234289576172</v>
      </c>
      <c r="F5" s="4">
        <f t="shared" si="0"/>
        <v>-1.0249478309526079</v>
      </c>
      <c r="G5" s="14">
        <f t="shared" si="1"/>
        <v>1.3849646694631217</v>
      </c>
      <c r="H5" s="1" t="str">
        <f>IF(OR(ABS(E5)&lt;CONFIG!$B$5,G5&lt;CONFIG!$B$5),"✓","→")</f>
        <v>→</v>
      </c>
    </row>
    <row r="6" spans="1:8" x14ac:dyDescent="0.3">
      <c r="A6" s="11">
        <f t="shared" si="2"/>
        <v>4</v>
      </c>
      <c r="B6" s="4">
        <f t="shared" si="3"/>
        <v>-2.4099125004157296</v>
      </c>
      <c r="C6" s="4">
        <f t="shared" si="4"/>
        <v>-1.0249478309526079</v>
      </c>
      <c r="D6" s="4">
        <f t="shared" si="5"/>
        <v>-25.144234289576172</v>
      </c>
      <c r="E6" s="4">
        <f t="shared" si="6"/>
        <v>1.2443655494376991</v>
      </c>
      <c r="F6" s="4">
        <f t="shared" si="0"/>
        <v>-1.0902564237685231</v>
      </c>
      <c r="G6" s="14">
        <f t="shared" si="1"/>
        <v>6.5308592815915167E-2</v>
      </c>
      <c r="H6" s="1" t="str">
        <f>IF(OR(ABS(E6)&lt;CONFIG!$B$5,G6&lt;CONFIG!$B$5),"✓","→")</f>
        <v>→</v>
      </c>
    </row>
    <row r="7" spans="1:8" x14ac:dyDescent="0.3">
      <c r="A7" s="11">
        <f t="shared" si="2"/>
        <v>5</v>
      </c>
      <c r="B7" s="4">
        <f t="shared" si="3"/>
        <v>-1.0249478309526079</v>
      </c>
      <c r="C7" s="4">
        <f t="shared" si="4"/>
        <v>-1.0902564237685231</v>
      </c>
      <c r="D7" s="4">
        <f t="shared" si="5"/>
        <v>1.2443655494376991</v>
      </c>
      <c r="E7" s="4">
        <f t="shared" si="6"/>
        <v>0.92459184232711822</v>
      </c>
      <c r="F7" s="4">
        <f t="shared" si="0"/>
        <v>-1.2790893103028036</v>
      </c>
      <c r="G7" s="14">
        <f t="shared" si="1"/>
        <v>0.18883288653428054</v>
      </c>
      <c r="H7" s="1" t="str">
        <f>IF(OR(ABS(E7)&lt;CONFIG!$B$5,G7&lt;CONFIG!$B$5),"✓","→")</f>
        <v>→</v>
      </c>
    </row>
    <row r="8" spans="1:8" x14ac:dyDescent="0.3">
      <c r="A8" s="11">
        <f t="shared" si="2"/>
        <v>6</v>
      </c>
      <c r="B8" s="4">
        <f t="shared" si="3"/>
        <v>-1.0902564237685231</v>
      </c>
      <c r="C8" s="4">
        <f t="shared" si="4"/>
        <v>-1.2790893103028036</v>
      </c>
      <c r="D8" s="4">
        <f t="shared" si="5"/>
        <v>0.92459184232711822</v>
      </c>
      <c r="E8" s="4">
        <f t="shared" si="6"/>
        <v>-0.35677297549261056</v>
      </c>
      <c r="F8" s="4">
        <f t="shared" si="0"/>
        <v>-1.2265121910758794</v>
      </c>
      <c r="G8" s="14">
        <f t="shared" si="1"/>
        <v>5.2577119226924207E-2</v>
      </c>
      <c r="H8" s="1" t="str">
        <f>IF(OR(ABS(E8)&lt;CONFIG!$B$5,G8&lt;CONFIG!$B$5),"✓","→")</f>
        <v>→</v>
      </c>
    </row>
    <row r="9" spans="1:8" x14ac:dyDescent="0.3">
      <c r="A9" s="11">
        <f t="shared" si="2"/>
        <v>7</v>
      </c>
      <c r="B9" s="4">
        <f t="shared" si="3"/>
        <v>-1.2790893103028036</v>
      </c>
      <c r="C9" s="4">
        <f t="shared" si="4"/>
        <v>-1.2265121910758794</v>
      </c>
      <c r="D9" s="4">
        <f t="shared" si="5"/>
        <v>-0.35677297549261056</v>
      </c>
      <c r="E9" s="4">
        <f t="shared" si="6"/>
        <v>5.6805129595279169E-2</v>
      </c>
      <c r="F9" s="4">
        <f t="shared" si="0"/>
        <v>-1.233733680885639</v>
      </c>
      <c r="G9" s="14">
        <f t="shared" si="1"/>
        <v>7.2214898097595626E-3</v>
      </c>
      <c r="H9" s="1" t="str">
        <f>IF(OR(ABS(E9)&lt;CONFIG!$B$5,G9&lt;CONFIG!$B$5),"✓","→")</f>
        <v>→</v>
      </c>
    </row>
    <row r="10" spans="1:8" x14ac:dyDescent="0.3">
      <c r="A10" s="11">
        <f t="shared" si="2"/>
        <v>8</v>
      </c>
      <c r="B10" s="4">
        <f t="shared" si="3"/>
        <v>-1.2265121910758794</v>
      </c>
      <c r="C10" s="4">
        <f t="shared" si="4"/>
        <v>-1.233733680885639</v>
      </c>
      <c r="D10" s="4">
        <f t="shared" si="5"/>
        <v>5.6805129595279169E-2</v>
      </c>
      <c r="E10" s="4">
        <f t="shared" si="6"/>
        <v>2.7156741815974605E-3</v>
      </c>
      <c r="F10" s="4">
        <f t="shared" si="0"/>
        <v>-1.2340962508778683</v>
      </c>
      <c r="G10" s="14">
        <f t="shared" si="1"/>
        <v>3.6256999222938902E-4</v>
      </c>
      <c r="H10" s="1" t="str">
        <f>IF(OR(ABS(E10)&lt;CONFIG!$B$5,G10&lt;CONFIG!$B$5),"✓","→")</f>
        <v>→</v>
      </c>
    </row>
    <row r="11" spans="1:8" x14ac:dyDescent="0.3">
      <c r="A11" s="11">
        <f t="shared" si="2"/>
        <v>9</v>
      </c>
      <c r="B11" s="4">
        <f t="shared" si="3"/>
        <v>-1.233733680885639</v>
      </c>
      <c r="C11" s="4">
        <f t="shared" si="4"/>
        <v>-1.2340962508778683</v>
      </c>
      <c r="D11" s="4">
        <f t="shared" si="5"/>
        <v>2.7156741815974605E-3</v>
      </c>
      <c r="E11" s="4">
        <f t="shared" si="6"/>
        <v>-2.2480927009294049E-5</v>
      </c>
      <c r="F11" s="4">
        <f t="shared" si="0"/>
        <v>-1.2340932740890425</v>
      </c>
      <c r="G11" s="14">
        <f t="shared" si="1"/>
        <v>2.9767888258813713E-6</v>
      </c>
      <c r="H11" s="1" t="str">
        <f>IF(OR(ABS(E11)&lt;CONFIG!$B$5,G11&lt;CONFIG!$B$5),"✓","→")</f>
        <v>→</v>
      </c>
    </row>
    <row r="12" spans="1:8" x14ac:dyDescent="0.3">
      <c r="A12" s="11">
        <f t="shared" si="2"/>
        <v>10</v>
      </c>
      <c r="B12" s="4">
        <f t="shared" si="3"/>
        <v>-1.2340962508778683</v>
      </c>
      <c r="C12" s="4">
        <f t="shared" si="4"/>
        <v>-1.2340932740890425</v>
      </c>
      <c r="D12" s="4">
        <f t="shared" si="5"/>
        <v>-2.2480927009294049E-5</v>
      </c>
      <c r="E12" s="4">
        <f t="shared" si="6"/>
        <v>8.7721829800102569E-9</v>
      </c>
      <c r="F12" s="4">
        <f t="shared" si="0"/>
        <v>-1.234093275250149</v>
      </c>
      <c r="G12" s="14">
        <f t="shared" si="1"/>
        <v>1.1611065442451718E-9</v>
      </c>
      <c r="H12" s="1" t="str">
        <f>IF(OR(ABS(E12)&lt;CONFIG!$B$5,G12&lt;CONFIG!$B$5),"✓","→")</f>
        <v>✓</v>
      </c>
    </row>
    <row r="13" spans="1:8" x14ac:dyDescent="0.3">
      <c r="A13" s="1"/>
      <c r="B13" s="4"/>
      <c r="C13" s="4"/>
      <c r="D13" s="4"/>
      <c r="E13" s="4"/>
      <c r="F13" s="4"/>
      <c r="G13" s="4"/>
      <c r="H13" s="1"/>
    </row>
    <row r="14" spans="1:8" x14ac:dyDescent="0.3">
      <c r="A14" s="1"/>
      <c r="B14" s="4"/>
      <c r="C14" s="4"/>
      <c r="D14" s="4"/>
      <c r="E14" s="4"/>
      <c r="F14" s="4"/>
      <c r="G14" s="4"/>
      <c r="H14" s="1"/>
    </row>
    <row r="15" spans="1:8" x14ac:dyDescent="0.3">
      <c r="A15" s="1"/>
      <c r="B15" s="4"/>
      <c r="C15" s="4"/>
      <c r="D15" s="4"/>
      <c r="E15" s="4"/>
      <c r="F15" s="4"/>
      <c r="G15" s="4"/>
      <c r="H15" s="1"/>
    </row>
    <row r="16" spans="1:8" x14ac:dyDescent="0.3">
      <c r="A16" s="1"/>
      <c r="B16" s="4"/>
      <c r="C16" s="4"/>
      <c r="D16" s="4"/>
      <c r="E16" s="4"/>
      <c r="F16" s="4"/>
      <c r="G16" s="4"/>
      <c r="H16" s="1"/>
    </row>
    <row r="17" spans="1:8" x14ac:dyDescent="0.3">
      <c r="A17" s="1"/>
      <c r="B17" s="4"/>
      <c r="C17" s="4"/>
      <c r="D17" s="4"/>
      <c r="E17" s="4"/>
      <c r="F17" s="4"/>
      <c r="G17" s="4"/>
      <c r="H17" s="1"/>
    </row>
    <row r="18" spans="1:8" x14ac:dyDescent="0.3">
      <c r="A18" s="1"/>
      <c r="B18" s="4"/>
      <c r="C18" s="4"/>
      <c r="D18" s="4"/>
      <c r="E18" s="4"/>
      <c r="F18" s="4"/>
      <c r="G18" s="4"/>
      <c r="H18" s="1"/>
    </row>
    <row r="19" spans="1:8" x14ac:dyDescent="0.3">
      <c r="A19" s="1"/>
      <c r="B19" s="4"/>
      <c r="C19" s="4"/>
      <c r="D19" s="4"/>
      <c r="E19" s="4"/>
      <c r="F19" s="4"/>
      <c r="G19" s="4"/>
      <c r="H19" s="1"/>
    </row>
    <row r="20" spans="1:8" x14ac:dyDescent="0.3">
      <c r="A20" s="1"/>
      <c r="B20" s="4"/>
      <c r="C20" s="4"/>
      <c r="D20" s="4"/>
      <c r="E20" s="4"/>
      <c r="F20" s="4"/>
      <c r="G20" s="4"/>
      <c r="H20" s="1"/>
    </row>
    <row r="21" spans="1:8" x14ac:dyDescent="0.3">
      <c r="A21" s="1"/>
      <c r="B21" s="4"/>
      <c r="C21" s="4"/>
      <c r="D21" s="4"/>
      <c r="E21" s="4"/>
      <c r="F21" s="4"/>
      <c r="G21" s="4"/>
      <c r="H21" s="1"/>
    </row>
    <row r="22" spans="1:8" x14ac:dyDescent="0.3">
      <c r="A22" s="1"/>
      <c r="B22" s="4"/>
      <c r="C22" s="4"/>
      <c r="D22" s="4"/>
      <c r="E22" s="4"/>
      <c r="F22" s="4"/>
      <c r="G22" s="4"/>
      <c r="H22" s="1"/>
    </row>
    <row r="23" spans="1:8" x14ac:dyDescent="0.3">
      <c r="A23" s="1"/>
      <c r="B23" s="4"/>
      <c r="C23" s="4"/>
      <c r="D23" s="4"/>
      <c r="E23" s="4"/>
      <c r="F23" s="4"/>
      <c r="G23" s="4"/>
      <c r="H23" s="1"/>
    </row>
    <row r="24" spans="1:8" x14ac:dyDescent="0.3">
      <c r="A24" s="1"/>
      <c r="B24" s="4"/>
      <c r="C24" s="4"/>
      <c r="D24" s="4"/>
      <c r="E24" s="4"/>
      <c r="F24" s="4"/>
      <c r="G24" s="4"/>
      <c r="H24" s="1"/>
    </row>
    <row r="25" spans="1:8" x14ac:dyDescent="0.3">
      <c r="A25" s="1"/>
      <c r="B25" s="4"/>
      <c r="C25" s="4"/>
      <c r="D25" s="4"/>
      <c r="E25" s="4"/>
      <c r="F25" s="4"/>
      <c r="G25" s="4"/>
      <c r="H25" s="1"/>
    </row>
    <row r="26" spans="1:8" x14ac:dyDescent="0.3">
      <c r="A26" s="1"/>
      <c r="B26" s="4"/>
      <c r="C26" s="4"/>
      <c r="D26" s="4"/>
      <c r="E26" s="4"/>
      <c r="F26" s="4"/>
      <c r="G26" s="4"/>
      <c r="H26" s="1"/>
    </row>
    <row r="27" spans="1:8" x14ac:dyDescent="0.3">
      <c r="A27" s="1"/>
      <c r="B27" s="4"/>
      <c r="C27" s="4"/>
      <c r="D27" s="4"/>
      <c r="E27" s="4"/>
      <c r="F27" s="4"/>
      <c r="G27" s="4"/>
      <c r="H27" s="1"/>
    </row>
    <row r="28" spans="1:8" x14ac:dyDescent="0.3">
      <c r="A28" s="1"/>
      <c r="B28" s="4"/>
      <c r="C28" s="4"/>
      <c r="D28" s="4"/>
      <c r="E28" s="4"/>
      <c r="F28" s="4"/>
      <c r="G28" s="4"/>
      <c r="H28" s="1"/>
    </row>
    <row r="29" spans="1:8" x14ac:dyDescent="0.3">
      <c r="A29" s="1"/>
      <c r="B29" s="4"/>
      <c r="C29" s="4"/>
      <c r="D29" s="4"/>
      <c r="E29" s="4"/>
      <c r="F29" s="4"/>
      <c r="G29" s="4"/>
      <c r="H29" s="1"/>
    </row>
    <row r="30" spans="1:8" x14ac:dyDescent="0.3">
      <c r="A30" s="1"/>
      <c r="B30" s="4"/>
      <c r="C30" s="4"/>
      <c r="D30" s="4"/>
      <c r="E30" s="4"/>
      <c r="F30" s="4"/>
      <c r="G30" s="4"/>
      <c r="H30" s="1"/>
    </row>
    <row r="31" spans="1:8" x14ac:dyDescent="0.3">
      <c r="A31" s="1"/>
      <c r="B31" s="4"/>
      <c r="C31" s="4"/>
      <c r="D31" s="4"/>
      <c r="E31" s="4"/>
      <c r="F31" s="4"/>
      <c r="G31" s="4"/>
      <c r="H31" s="1"/>
    </row>
    <row r="32" spans="1:8" x14ac:dyDescent="0.3">
      <c r="A32" s="1"/>
      <c r="B32" s="4"/>
      <c r="C32" s="4"/>
      <c r="D32" s="4"/>
      <c r="E32" s="4"/>
      <c r="F32" s="4"/>
      <c r="G32" s="4"/>
      <c r="H32" s="1"/>
    </row>
    <row r="33" spans="1:8" x14ac:dyDescent="0.3">
      <c r="A33" s="1"/>
      <c r="B33" s="4"/>
      <c r="C33" s="4"/>
      <c r="D33" s="4"/>
      <c r="E33" s="4"/>
      <c r="F33" s="4"/>
      <c r="G33" s="4"/>
      <c r="H33" s="1"/>
    </row>
    <row r="34" spans="1:8" x14ac:dyDescent="0.3">
      <c r="A34" s="1"/>
      <c r="B34" s="4"/>
      <c r="C34" s="4"/>
      <c r="D34" s="4"/>
      <c r="E34" s="4"/>
      <c r="F34" s="4"/>
      <c r="G34" s="4"/>
      <c r="H34" s="1"/>
    </row>
    <row r="35" spans="1:8" x14ac:dyDescent="0.3">
      <c r="A35" s="1"/>
      <c r="B35" s="4"/>
      <c r="C35" s="4"/>
      <c r="D35" s="4"/>
      <c r="E35" s="4"/>
      <c r="F35" s="4"/>
      <c r="G35" s="4"/>
      <c r="H35" s="1"/>
    </row>
    <row r="36" spans="1:8" x14ac:dyDescent="0.3">
      <c r="A36" s="1"/>
      <c r="B36" s="4"/>
      <c r="C36" s="4"/>
      <c r="D36" s="4"/>
      <c r="E36" s="4"/>
      <c r="F36" s="4"/>
      <c r="G36" s="4"/>
      <c r="H36" s="1"/>
    </row>
    <row r="37" spans="1:8" x14ac:dyDescent="0.3">
      <c r="A37" s="1"/>
      <c r="B37" s="4"/>
      <c r="C37" s="4"/>
      <c r="D37" s="4"/>
      <c r="E37" s="4"/>
      <c r="F37" s="4"/>
      <c r="G37" s="4"/>
      <c r="H37" s="1"/>
    </row>
    <row r="38" spans="1:8" x14ac:dyDescent="0.3">
      <c r="A38" s="1"/>
      <c r="B38" s="4"/>
      <c r="C38" s="4"/>
      <c r="D38" s="4"/>
      <c r="E38" s="4"/>
      <c r="F38" s="4"/>
      <c r="G38" s="4"/>
      <c r="H38" s="1"/>
    </row>
    <row r="39" spans="1:8" x14ac:dyDescent="0.3">
      <c r="A39" s="1"/>
      <c r="B39" s="4"/>
      <c r="C39" s="4"/>
      <c r="D39" s="4"/>
      <c r="E39" s="4"/>
      <c r="F39" s="4"/>
      <c r="G39" s="4"/>
      <c r="H39" s="1"/>
    </row>
    <row r="40" spans="1:8" x14ac:dyDescent="0.3">
      <c r="A40" s="1"/>
      <c r="B40" s="4"/>
      <c r="C40" s="4"/>
      <c r="D40" s="4"/>
      <c r="E40" s="4"/>
      <c r="F40" s="4"/>
      <c r="G40" s="4"/>
      <c r="H40" s="1"/>
    </row>
    <row r="41" spans="1:8" x14ac:dyDescent="0.3">
      <c r="A41" s="1"/>
      <c r="B41" s="4"/>
      <c r="C41" s="4"/>
      <c r="D41" s="4"/>
      <c r="E41" s="4"/>
      <c r="F41" s="4"/>
      <c r="G41" s="4"/>
      <c r="H41" s="1"/>
    </row>
    <row r="42" spans="1:8" x14ac:dyDescent="0.3">
      <c r="A42" s="1"/>
      <c r="B42" s="4"/>
      <c r="C42" s="4"/>
      <c r="D42" s="4"/>
      <c r="E42" s="4"/>
      <c r="F42" s="4"/>
      <c r="G42" s="4"/>
      <c r="H42" s="1"/>
    </row>
    <row r="43" spans="1:8" x14ac:dyDescent="0.3">
      <c r="A43" s="1"/>
      <c r="B43" s="4"/>
      <c r="C43" s="4"/>
      <c r="D43" s="4"/>
      <c r="E43" s="4"/>
      <c r="F43" s="4"/>
      <c r="G43" s="4"/>
      <c r="H43" s="1"/>
    </row>
    <row r="44" spans="1:8" x14ac:dyDescent="0.3">
      <c r="A44" s="1"/>
      <c r="B44" s="4"/>
      <c r="C44" s="4"/>
      <c r="D44" s="4"/>
      <c r="E44" s="4"/>
      <c r="F44" s="4"/>
      <c r="G44" s="4"/>
      <c r="H44" s="1"/>
    </row>
    <row r="45" spans="1:8" x14ac:dyDescent="0.3">
      <c r="A45" s="1"/>
      <c r="B45" s="4"/>
      <c r="C45" s="4"/>
      <c r="D45" s="4"/>
      <c r="E45" s="4"/>
      <c r="F45" s="4"/>
      <c r="G45" s="4"/>
      <c r="H45" s="1"/>
    </row>
    <row r="46" spans="1:8" x14ac:dyDescent="0.3">
      <c r="A46" s="1"/>
      <c r="B46" s="4"/>
      <c r="C46" s="4"/>
      <c r="D46" s="4"/>
      <c r="E46" s="4"/>
      <c r="F46" s="4"/>
      <c r="G46" s="4"/>
      <c r="H46" s="1"/>
    </row>
    <row r="47" spans="1:8" x14ac:dyDescent="0.3">
      <c r="A47" s="1"/>
      <c r="B47" s="4"/>
      <c r="C47" s="4"/>
      <c r="D47" s="4"/>
      <c r="E47" s="4"/>
      <c r="F47" s="4"/>
      <c r="G47" s="4"/>
      <c r="H47" s="1"/>
    </row>
    <row r="48" spans="1:8" x14ac:dyDescent="0.3">
      <c r="A48" s="1"/>
      <c r="B48" s="4"/>
      <c r="C48" s="4"/>
      <c r="D48" s="4"/>
      <c r="E48" s="4"/>
      <c r="F48" s="4"/>
      <c r="G48" s="4"/>
      <c r="H48" s="1"/>
    </row>
    <row r="49" spans="1:8" x14ac:dyDescent="0.3">
      <c r="A49" s="1"/>
      <c r="B49" s="4"/>
      <c r="C49" s="4"/>
      <c r="D49" s="4"/>
      <c r="E49" s="4"/>
      <c r="F49" s="4"/>
      <c r="G49" s="4"/>
      <c r="H49" s="1"/>
    </row>
    <row r="50" spans="1:8" x14ac:dyDescent="0.3">
      <c r="A50" s="1"/>
      <c r="B50" s="4"/>
      <c r="C50" s="4"/>
      <c r="D50" s="4"/>
      <c r="E50" s="4"/>
      <c r="F50" s="4"/>
      <c r="G50" s="4"/>
      <c r="H50" s="1"/>
    </row>
    <row r="51" spans="1:8" x14ac:dyDescent="0.3">
      <c r="A51" s="1"/>
      <c r="B51" s="4"/>
      <c r="C51" s="4"/>
      <c r="D51" s="4"/>
      <c r="E51" s="4"/>
      <c r="F51" s="4"/>
      <c r="G51" s="4"/>
      <c r="H51" s="1"/>
    </row>
    <row r="52" spans="1:8" x14ac:dyDescent="0.3">
      <c r="A52" s="1"/>
      <c r="B52" s="4"/>
      <c r="C52" s="4"/>
      <c r="D52" s="4"/>
      <c r="E52" s="4"/>
      <c r="F52" s="4"/>
      <c r="G52" s="4"/>
      <c r="H52" s="1"/>
    </row>
    <row r="53" spans="1:8" x14ac:dyDescent="0.3">
      <c r="A53" s="1"/>
      <c r="B53" s="4"/>
      <c r="C53" s="4"/>
      <c r="D53" s="4"/>
      <c r="E53" s="4"/>
      <c r="F53" s="4"/>
      <c r="G53" s="4"/>
      <c r="H53" s="1"/>
    </row>
    <row r="54" spans="1:8" x14ac:dyDescent="0.3">
      <c r="A54" s="1"/>
      <c r="B54" s="4"/>
      <c r="C54" s="4"/>
      <c r="D54" s="4"/>
      <c r="E54" s="4"/>
      <c r="F54" s="4"/>
      <c r="G54" s="4"/>
      <c r="H54" s="1"/>
    </row>
    <row r="55" spans="1:8" x14ac:dyDescent="0.3">
      <c r="A55" s="1"/>
      <c r="B55" s="4"/>
      <c r="C55" s="4"/>
      <c r="D55" s="4"/>
      <c r="E55" s="4"/>
      <c r="F55" s="4"/>
      <c r="G55" s="4"/>
      <c r="H55" s="1"/>
    </row>
    <row r="56" spans="1:8" x14ac:dyDescent="0.3">
      <c r="A56" s="1"/>
      <c r="B56" s="4"/>
      <c r="C56" s="4"/>
      <c r="D56" s="4"/>
      <c r="E56" s="4"/>
      <c r="F56" s="4"/>
      <c r="G56" s="4"/>
      <c r="H56" s="1"/>
    </row>
    <row r="57" spans="1:8" x14ac:dyDescent="0.3">
      <c r="A57" s="1"/>
      <c r="B57" s="4"/>
      <c r="C57" s="4"/>
      <c r="D57" s="4"/>
      <c r="E57" s="4"/>
      <c r="F57" s="4"/>
      <c r="G57" s="4"/>
      <c r="H57" s="1"/>
    </row>
    <row r="58" spans="1:8" x14ac:dyDescent="0.3">
      <c r="A58" s="1"/>
      <c r="B58" s="4"/>
      <c r="C58" s="4"/>
      <c r="D58" s="4"/>
      <c r="E58" s="4"/>
      <c r="F58" s="4"/>
      <c r="G58" s="4"/>
      <c r="H58" s="1"/>
    </row>
    <row r="59" spans="1:8" x14ac:dyDescent="0.3">
      <c r="A59" s="1"/>
      <c r="B59" s="4"/>
      <c r="C59" s="4"/>
      <c r="D59" s="4"/>
      <c r="E59" s="4"/>
      <c r="F59" s="4"/>
      <c r="G59" s="4"/>
      <c r="H59" s="1"/>
    </row>
    <row r="60" spans="1:8" x14ac:dyDescent="0.3">
      <c r="A60" s="1"/>
      <c r="B60" s="4"/>
      <c r="C60" s="4"/>
      <c r="D60" s="4"/>
      <c r="E60" s="4"/>
      <c r="F60" s="4"/>
      <c r="G60" s="4"/>
      <c r="H60" s="1"/>
    </row>
    <row r="61" spans="1:8" x14ac:dyDescent="0.3">
      <c r="A61" s="1"/>
      <c r="B61" s="4"/>
      <c r="C61" s="4"/>
      <c r="D61" s="4"/>
      <c r="E61" s="4"/>
      <c r="F61" s="4"/>
      <c r="G61" s="4"/>
      <c r="H61" s="1"/>
    </row>
    <row r="62" spans="1:8" x14ac:dyDescent="0.3">
      <c r="A62" s="1"/>
      <c r="B62" s="4"/>
      <c r="C62" s="4"/>
      <c r="D62" s="4"/>
      <c r="E62" s="4"/>
      <c r="F62" s="4"/>
      <c r="G62" s="4"/>
      <c r="H62" s="1"/>
    </row>
    <row r="63" spans="1:8" x14ac:dyDescent="0.3">
      <c r="A63" s="1"/>
      <c r="B63" s="4"/>
      <c r="C63" s="4"/>
      <c r="D63" s="4"/>
      <c r="E63" s="4"/>
      <c r="F63" s="4"/>
      <c r="G63" s="4"/>
      <c r="H63" s="1"/>
    </row>
    <row r="64" spans="1:8" x14ac:dyDescent="0.3">
      <c r="A64" s="1"/>
      <c r="B64" s="4"/>
      <c r="C64" s="4"/>
      <c r="D64" s="4"/>
      <c r="E64" s="4"/>
      <c r="F64" s="4"/>
      <c r="G64" s="4"/>
      <c r="H64" s="1"/>
    </row>
    <row r="65" spans="1:8" x14ac:dyDescent="0.3">
      <c r="A65" s="1"/>
      <c r="B65" s="4"/>
      <c r="C65" s="4"/>
      <c r="D65" s="4"/>
      <c r="E65" s="4"/>
      <c r="F65" s="4"/>
      <c r="G65" s="4"/>
      <c r="H65" s="1"/>
    </row>
    <row r="66" spans="1:8" x14ac:dyDescent="0.3">
      <c r="A66" s="1"/>
      <c r="B66" s="4"/>
      <c r="C66" s="4"/>
      <c r="D66" s="4"/>
      <c r="E66" s="4"/>
      <c r="F66" s="4"/>
      <c r="G66" s="4"/>
      <c r="H66" s="1"/>
    </row>
    <row r="67" spans="1:8" x14ac:dyDescent="0.3">
      <c r="A67" s="1"/>
      <c r="B67" s="4"/>
      <c r="C67" s="4"/>
      <c r="D67" s="4"/>
      <c r="E67" s="4"/>
      <c r="F67" s="4"/>
      <c r="G67" s="4"/>
      <c r="H67" s="1"/>
    </row>
    <row r="68" spans="1:8" x14ac:dyDescent="0.3">
      <c r="A68" s="1"/>
      <c r="B68" s="4"/>
      <c r="C68" s="4"/>
      <c r="D68" s="4"/>
      <c r="E68" s="4"/>
      <c r="F68" s="4"/>
      <c r="G68" s="4"/>
      <c r="H68" s="1"/>
    </row>
    <row r="69" spans="1:8" x14ac:dyDescent="0.3">
      <c r="A69" s="1"/>
      <c r="B69" s="4"/>
      <c r="C69" s="4"/>
      <c r="D69" s="4"/>
      <c r="E69" s="4"/>
      <c r="F69" s="4"/>
      <c r="G69" s="4"/>
      <c r="H69" s="1"/>
    </row>
    <row r="70" spans="1:8" x14ac:dyDescent="0.3">
      <c r="A70" s="1"/>
      <c r="B70" s="4"/>
      <c r="C70" s="4"/>
      <c r="D70" s="4"/>
      <c r="E70" s="4"/>
      <c r="F70" s="4"/>
      <c r="G70" s="4"/>
      <c r="H70" s="1"/>
    </row>
    <row r="71" spans="1:8" x14ac:dyDescent="0.3">
      <c r="A71" s="1"/>
      <c r="B71" s="4"/>
      <c r="C71" s="4"/>
      <c r="D71" s="4"/>
      <c r="E71" s="4"/>
      <c r="F71" s="4"/>
      <c r="G71" s="4"/>
      <c r="H71" s="1"/>
    </row>
    <row r="72" spans="1:8" x14ac:dyDescent="0.3">
      <c r="A72" s="1"/>
      <c r="B72" s="4"/>
      <c r="C72" s="4"/>
      <c r="D72" s="4"/>
      <c r="E72" s="4"/>
      <c r="F72" s="4"/>
      <c r="G72" s="4"/>
      <c r="H72" s="1"/>
    </row>
    <row r="73" spans="1:8" x14ac:dyDescent="0.3">
      <c r="A73" s="1"/>
      <c r="B73" s="4"/>
      <c r="C73" s="4"/>
      <c r="D73" s="4"/>
      <c r="E73" s="4"/>
      <c r="F73" s="4"/>
      <c r="G73" s="4"/>
      <c r="H73" s="1"/>
    </row>
    <row r="74" spans="1:8" x14ac:dyDescent="0.3">
      <c r="A74" s="1"/>
      <c r="B74" s="4"/>
      <c r="C74" s="4"/>
      <c r="D74" s="4"/>
      <c r="E74" s="4"/>
      <c r="F74" s="4"/>
      <c r="G74" s="4"/>
      <c r="H74" s="1"/>
    </row>
    <row r="75" spans="1:8" x14ac:dyDescent="0.3">
      <c r="A75" s="1"/>
      <c r="B75" s="4"/>
      <c r="C75" s="4"/>
      <c r="D75" s="4"/>
      <c r="E75" s="4"/>
      <c r="F75" s="4"/>
      <c r="G75" s="4"/>
      <c r="H75" s="1"/>
    </row>
    <row r="76" spans="1:8" x14ac:dyDescent="0.3">
      <c r="A76" s="1"/>
      <c r="B76" s="4"/>
      <c r="C76" s="4"/>
      <c r="D76" s="4"/>
      <c r="E76" s="4"/>
      <c r="F76" s="4"/>
      <c r="G76" s="4"/>
      <c r="H76" s="1"/>
    </row>
    <row r="77" spans="1:8" x14ac:dyDescent="0.3">
      <c r="A77" s="1"/>
      <c r="B77" s="4"/>
      <c r="C77" s="4"/>
      <c r="D77" s="4"/>
      <c r="E77" s="4"/>
      <c r="F77" s="4"/>
      <c r="G77" s="4"/>
      <c r="H77" s="1"/>
    </row>
    <row r="78" spans="1:8" x14ac:dyDescent="0.3">
      <c r="A78" s="1"/>
      <c r="B78" s="4"/>
      <c r="C78" s="4"/>
      <c r="D78" s="4"/>
      <c r="E78" s="4"/>
      <c r="F78" s="4"/>
      <c r="G78" s="4"/>
      <c r="H78" s="1"/>
    </row>
    <row r="79" spans="1:8" x14ac:dyDescent="0.3">
      <c r="A79" s="1"/>
      <c r="B79" s="4"/>
      <c r="C79" s="4"/>
      <c r="D79" s="4"/>
      <c r="E79" s="4"/>
      <c r="F79" s="4"/>
      <c r="G79" s="4"/>
      <c r="H79" s="1"/>
    </row>
    <row r="80" spans="1:8" x14ac:dyDescent="0.3">
      <c r="A80" s="1"/>
      <c r="B80" s="4"/>
      <c r="C80" s="4"/>
      <c r="D80" s="4"/>
      <c r="E80" s="4"/>
      <c r="F80" s="4"/>
      <c r="G80" s="4"/>
      <c r="H80" s="1"/>
    </row>
    <row r="81" spans="1:8" x14ac:dyDescent="0.3">
      <c r="A81" s="1"/>
      <c r="B81" s="4"/>
      <c r="C81" s="4"/>
      <c r="D81" s="4"/>
      <c r="E81" s="4"/>
      <c r="F81" s="4"/>
      <c r="G81" s="4"/>
      <c r="H81" s="1"/>
    </row>
    <row r="82" spans="1:8" x14ac:dyDescent="0.3">
      <c r="A82" s="1"/>
      <c r="B82" s="4"/>
      <c r="C82" s="4"/>
      <c r="D82" s="4"/>
      <c r="E82" s="4"/>
      <c r="F82" s="4"/>
      <c r="G82" s="4"/>
      <c r="H82" s="1"/>
    </row>
    <row r="83" spans="1:8" x14ac:dyDescent="0.3">
      <c r="A83" s="1"/>
      <c r="B83" s="4"/>
      <c r="C83" s="4"/>
      <c r="D83" s="4"/>
      <c r="E83" s="4"/>
      <c r="F83" s="4"/>
      <c r="G83" s="4"/>
      <c r="H83" s="1"/>
    </row>
    <row r="84" spans="1:8" x14ac:dyDescent="0.3">
      <c r="A84" s="1"/>
      <c r="B84" s="4"/>
      <c r="C84" s="4"/>
      <c r="D84" s="4"/>
      <c r="E84" s="4"/>
      <c r="F84" s="4"/>
      <c r="G84" s="4"/>
      <c r="H84" s="1"/>
    </row>
    <row r="85" spans="1:8" x14ac:dyDescent="0.3">
      <c r="A85" s="1"/>
      <c r="B85" s="4"/>
      <c r="C85" s="4"/>
      <c r="D85" s="4"/>
      <c r="E85" s="4"/>
      <c r="F85" s="4"/>
      <c r="G85" s="4"/>
      <c r="H85" s="1"/>
    </row>
    <row r="86" spans="1:8" x14ac:dyDescent="0.3">
      <c r="A86" s="1"/>
      <c r="B86" s="4"/>
      <c r="C86" s="4"/>
      <c r="D86" s="4"/>
      <c r="E86" s="4"/>
      <c r="F86" s="4"/>
      <c r="G86" s="4"/>
      <c r="H86" s="1"/>
    </row>
    <row r="87" spans="1:8" x14ac:dyDescent="0.3">
      <c r="A87" s="1"/>
      <c r="B87" s="4"/>
      <c r="C87" s="4"/>
      <c r="D87" s="4"/>
      <c r="E87" s="4"/>
      <c r="F87" s="4"/>
      <c r="G87" s="4"/>
      <c r="H87" s="1"/>
    </row>
    <row r="88" spans="1:8" x14ac:dyDescent="0.3">
      <c r="A88" s="1"/>
      <c r="B88" s="4"/>
      <c r="C88" s="4"/>
      <c r="D88" s="4"/>
      <c r="E88" s="4"/>
      <c r="F88" s="4"/>
      <c r="G88" s="4"/>
      <c r="H88" s="1"/>
    </row>
    <row r="89" spans="1:8" x14ac:dyDescent="0.3">
      <c r="A89" s="1"/>
      <c r="B89" s="4"/>
      <c r="C89" s="4"/>
      <c r="D89" s="4"/>
      <c r="E89" s="4"/>
      <c r="F89" s="4"/>
      <c r="G89" s="4"/>
      <c r="H89" s="1"/>
    </row>
    <row r="90" spans="1:8" x14ac:dyDescent="0.3">
      <c r="A90" s="1"/>
      <c r="B90" s="4"/>
      <c r="C90" s="4"/>
      <c r="D90" s="4"/>
      <c r="E90" s="4"/>
      <c r="F90" s="4"/>
      <c r="G90" s="4"/>
      <c r="H90" s="1"/>
    </row>
    <row r="91" spans="1:8" x14ac:dyDescent="0.3">
      <c r="A91" s="1"/>
      <c r="B91" s="4"/>
      <c r="C91" s="4"/>
      <c r="D91" s="4"/>
      <c r="E91" s="4"/>
      <c r="F91" s="4"/>
      <c r="G91" s="4"/>
      <c r="H91" s="1"/>
    </row>
    <row r="92" spans="1:8" x14ac:dyDescent="0.3">
      <c r="A92" s="1"/>
      <c r="B92" s="4"/>
      <c r="C92" s="4"/>
      <c r="D92" s="4"/>
      <c r="E92" s="4"/>
      <c r="F92" s="4"/>
      <c r="G92" s="4"/>
      <c r="H92" s="1"/>
    </row>
    <row r="93" spans="1:8" x14ac:dyDescent="0.3">
      <c r="A93" s="1"/>
      <c r="B93" s="4"/>
      <c r="C93" s="4"/>
      <c r="D93" s="4"/>
      <c r="E93" s="4"/>
      <c r="F93" s="4"/>
      <c r="G93" s="4"/>
      <c r="H93" s="1"/>
    </row>
    <row r="94" spans="1:8" x14ac:dyDescent="0.3">
      <c r="A94" s="1"/>
      <c r="B94" s="4"/>
      <c r="C94" s="4"/>
      <c r="D94" s="4"/>
      <c r="E94" s="4"/>
      <c r="F94" s="4"/>
      <c r="G94" s="4"/>
      <c r="H94" s="1"/>
    </row>
    <row r="95" spans="1:8" x14ac:dyDescent="0.3">
      <c r="A95" s="1"/>
      <c r="B95" s="4"/>
      <c r="C95" s="4"/>
      <c r="D95" s="4"/>
      <c r="E95" s="4"/>
      <c r="F95" s="4"/>
      <c r="G95" s="4"/>
      <c r="H95" s="1"/>
    </row>
    <row r="96" spans="1:8" x14ac:dyDescent="0.3">
      <c r="A96" s="1"/>
      <c r="B96" s="4"/>
      <c r="C96" s="4"/>
      <c r="D96" s="4"/>
      <c r="E96" s="4"/>
      <c r="F96" s="4"/>
      <c r="G96" s="4"/>
      <c r="H96" s="1"/>
    </row>
    <row r="97" spans="1:8" x14ac:dyDescent="0.3">
      <c r="A97" s="1"/>
      <c r="B97" s="4"/>
      <c r="C97" s="4"/>
      <c r="D97" s="4"/>
      <c r="E97" s="4"/>
      <c r="F97" s="4"/>
      <c r="G97" s="4"/>
      <c r="H97" s="1"/>
    </row>
    <row r="98" spans="1:8" x14ac:dyDescent="0.3">
      <c r="A98" s="1"/>
      <c r="B98" s="4"/>
      <c r="C98" s="4"/>
      <c r="D98" s="4"/>
      <c r="E98" s="4"/>
      <c r="F98" s="4"/>
      <c r="G98" s="4"/>
      <c r="H98" s="1"/>
    </row>
    <row r="99" spans="1:8" x14ac:dyDescent="0.3">
      <c r="A99" s="1"/>
      <c r="B99" s="4"/>
      <c r="C99" s="4"/>
      <c r="D99" s="4"/>
      <c r="E99" s="4"/>
      <c r="F99" s="4"/>
      <c r="G99" s="4"/>
      <c r="H99" s="1"/>
    </row>
    <row r="100" spans="1:8" x14ac:dyDescent="0.3">
      <c r="A100" s="1"/>
      <c r="B100" s="4"/>
      <c r="C100" s="4"/>
      <c r="D100" s="4"/>
      <c r="E100" s="4"/>
      <c r="F100" s="4"/>
      <c r="G100" s="4"/>
      <c r="H100" s="1"/>
    </row>
    <row r="101" spans="1:8" x14ac:dyDescent="0.3">
      <c r="A101" s="1"/>
      <c r="B101" s="4"/>
      <c r="C101" s="4"/>
      <c r="D101" s="4"/>
      <c r="E101" s="4"/>
      <c r="F101" s="4"/>
      <c r="G101" s="4"/>
      <c r="H101" s="1"/>
    </row>
    <row r="102" spans="1:8" x14ac:dyDescent="0.3">
      <c r="A102" s="1"/>
      <c r="B102" s="4"/>
      <c r="C102" s="4"/>
      <c r="D102" s="4"/>
      <c r="E102" s="4"/>
      <c r="F102" s="4"/>
      <c r="G102" s="4"/>
      <c r="H102" s="1"/>
    </row>
    <row r="103" spans="1:8" x14ac:dyDescent="0.3">
      <c r="A103" s="1"/>
      <c r="B103" s="4"/>
      <c r="C103" s="4"/>
      <c r="D103" s="4"/>
      <c r="E103" s="4"/>
      <c r="F103" s="4"/>
      <c r="G103" s="4"/>
      <c r="H103" s="1"/>
    </row>
    <row r="104" spans="1:8" x14ac:dyDescent="0.3">
      <c r="A104" s="1"/>
      <c r="B104" s="4"/>
      <c r="C104" s="4"/>
      <c r="D104" s="4"/>
      <c r="E104" s="4"/>
      <c r="F104" s="4"/>
      <c r="G104" s="4"/>
      <c r="H104" s="1"/>
    </row>
    <row r="105" spans="1:8" x14ac:dyDescent="0.3">
      <c r="A105" s="1"/>
      <c r="B105" s="4"/>
      <c r="C105" s="4"/>
      <c r="D105" s="4"/>
      <c r="E105" s="4"/>
      <c r="F105" s="4"/>
      <c r="G105" s="4"/>
      <c r="H105" s="1"/>
    </row>
    <row r="106" spans="1:8" x14ac:dyDescent="0.3">
      <c r="A106" s="1"/>
      <c r="B106" s="4"/>
      <c r="C106" s="4"/>
      <c r="D106" s="4"/>
      <c r="E106" s="4"/>
      <c r="F106" s="4"/>
      <c r="G106" s="4"/>
      <c r="H106" s="1"/>
    </row>
    <row r="107" spans="1:8" x14ac:dyDescent="0.3">
      <c r="A107" s="1"/>
      <c r="B107" s="4"/>
      <c r="C107" s="4"/>
      <c r="D107" s="4"/>
      <c r="E107" s="4"/>
      <c r="F107" s="4"/>
      <c r="G107" s="4"/>
      <c r="H107" s="1"/>
    </row>
    <row r="108" spans="1:8" x14ac:dyDescent="0.3">
      <c r="A108" s="1"/>
      <c r="B108" s="4"/>
      <c r="C108" s="4"/>
      <c r="D108" s="4"/>
      <c r="E108" s="4"/>
      <c r="F108" s="4"/>
      <c r="G108" s="4"/>
      <c r="H108" s="1"/>
    </row>
    <row r="109" spans="1:8" x14ac:dyDescent="0.3">
      <c r="A109" s="1"/>
      <c r="B109" s="4"/>
      <c r="C109" s="4"/>
      <c r="D109" s="4"/>
      <c r="E109" s="4"/>
      <c r="F109" s="4"/>
      <c r="G109" s="4"/>
      <c r="H109" s="1"/>
    </row>
    <row r="110" spans="1:8" x14ac:dyDescent="0.3">
      <c r="A110" s="1"/>
      <c r="B110" s="4"/>
      <c r="C110" s="4"/>
      <c r="D110" s="4"/>
      <c r="E110" s="4"/>
      <c r="F110" s="4"/>
      <c r="G110" s="4"/>
      <c r="H110" s="1"/>
    </row>
    <row r="111" spans="1:8" x14ac:dyDescent="0.3">
      <c r="A111" s="1"/>
      <c r="B111" s="4"/>
      <c r="C111" s="4"/>
      <c r="D111" s="4"/>
      <c r="E111" s="4"/>
      <c r="F111" s="4"/>
      <c r="G111" s="4"/>
      <c r="H111" s="1"/>
    </row>
    <row r="112" spans="1:8" x14ac:dyDescent="0.3">
      <c r="A112" s="1"/>
      <c r="B112" s="4"/>
      <c r="C112" s="4"/>
      <c r="D112" s="4"/>
      <c r="E112" s="4"/>
      <c r="F112" s="4"/>
      <c r="G112" s="4"/>
      <c r="H112" s="1"/>
    </row>
    <row r="113" spans="1:8" x14ac:dyDescent="0.3">
      <c r="A113" s="1"/>
      <c r="B113" s="4"/>
      <c r="C113" s="4"/>
      <c r="D113" s="4"/>
      <c r="E113" s="4"/>
      <c r="F113" s="4"/>
      <c r="G113" s="4"/>
      <c r="H113" s="1"/>
    </row>
    <row r="114" spans="1:8" x14ac:dyDescent="0.3">
      <c r="A114" s="1"/>
      <c r="B114" s="4"/>
      <c r="C114" s="4"/>
      <c r="D114" s="4"/>
      <c r="E114" s="4"/>
      <c r="F114" s="4"/>
      <c r="G114" s="4"/>
      <c r="H114" s="1"/>
    </row>
    <row r="115" spans="1:8" x14ac:dyDescent="0.3">
      <c r="A115" s="1"/>
      <c r="B115" s="4"/>
      <c r="C115" s="4"/>
      <c r="D115" s="4"/>
      <c r="E115" s="4"/>
      <c r="F115" s="4"/>
      <c r="G115" s="4"/>
      <c r="H115" s="1"/>
    </row>
    <row r="116" spans="1:8" x14ac:dyDescent="0.3">
      <c r="A116" s="1"/>
      <c r="B116" s="4"/>
      <c r="C116" s="4"/>
      <c r="D116" s="4"/>
      <c r="E116" s="4"/>
      <c r="F116" s="4"/>
      <c r="G116" s="4"/>
      <c r="H116" s="1"/>
    </row>
    <row r="117" spans="1:8" x14ac:dyDescent="0.3">
      <c r="A117" s="1"/>
      <c r="B117" s="4"/>
      <c r="C117" s="4"/>
      <c r="D117" s="4"/>
      <c r="E117" s="4"/>
      <c r="F117" s="4"/>
      <c r="G117" s="4"/>
      <c r="H117" s="1"/>
    </row>
    <row r="118" spans="1:8" x14ac:dyDescent="0.3">
      <c r="A118" s="1"/>
      <c r="B118" s="4"/>
      <c r="C118" s="4"/>
      <c r="D118" s="4"/>
      <c r="E118" s="4"/>
      <c r="F118" s="4"/>
      <c r="G118" s="4"/>
      <c r="H118" s="1"/>
    </row>
    <row r="119" spans="1:8" x14ac:dyDescent="0.3">
      <c r="A119" s="1"/>
      <c r="B119" s="4"/>
      <c r="C119" s="4"/>
      <c r="D119" s="4"/>
      <c r="E119" s="4"/>
      <c r="F119" s="4"/>
      <c r="G119" s="4"/>
      <c r="H119" s="1"/>
    </row>
    <row r="120" spans="1:8" x14ac:dyDescent="0.3">
      <c r="A120" s="1"/>
      <c r="B120" s="4"/>
      <c r="C120" s="4"/>
      <c r="D120" s="4"/>
      <c r="E120" s="4"/>
      <c r="F120" s="4"/>
      <c r="G120" s="4"/>
      <c r="H120" s="1"/>
    </row>
    <row r="121" spans="1:8" x14ac:dyDescent="0.3">
      <c r="A121" s="1"/>
      <c r="B121" s="4"/>
      <c r="C121" s="4"/>
      <c r="D121" s="4"/>
      <c r="E121" s="4"/>
      <c r="F121" s="4"/>
      <c r="G121" s="4"/>
      <c r="H121" s="1"/>
    </row>
    <row r="122" spans="1:8" x14ac:dyDescent="0.3">
      <c r="A122" s="1"/>
      <c r="B122" s="4"/>
      <c r="C122" s="4"/>
      <c r="D122" s="4"/>
      <c r="E122" s="4"/>
      <c r="F122" s="4"/>
      <c r="G122" s="4"/>
      <c r="H122" s="1"/>
    </row>
    <row r="123" spans="1:8" x14ac:dyDescent="0.3">
      <c r="A123" s="1"/>
      <c r="B123" s="4"/>
      <c r="C123" s="4"/>
      <c r="D123" s="4"/>
      <c r="E123" s="4"/>
      <c r="F123" s="4"/>
      <c r="G123" s="4"/>
      <c r="H123" s="1"/>
    </row>
    <row r="124" spans="1:8" x14ac:dyDescent="0.3">
      <c r="A124" s="1"/>
      <c r="B124" s="4"/>
      <c r="C124" s="4"/>
      <c r="D124" s="4"/>
      <c r="E124" s="4"/>
      <c r="F124" s="4"/>
      <c r="G124" s="4"/>
      <c r="H124" s="1"/>
    </row>
    <row r="125" spans="1:8" x14ac:dyDescent="0.3">
      <c r="A125" s="1"/>
      <c r="B125" s="4"/>
      <c r="C125" s="4"/>
      <c r="D125" s="4"/>
      <c r="E125" s="4"/>
      <c r="F125" s="4"/>
      <c r="G125" s="4"/>
      <c r="H125" s="1"/>
    </row>
    <row r="126" spans="1:8" x14ac:dyDescent="0.3">
      <c r="A126" s="1"/>
      <c r="B126" s="4"/>
      <c r="C126" s="4"/>
      <c r="D126" s="4"/>
      <c r="E126" s="4"/>
      <c r="F126" s="4"/>
      <c r="G126" s="4"/>
      <c r="H126" s="1"/>
    </row>
    <row r="127" spans="1:8" x14ac:dyDescent="0.3">
      <c r="A127" s="1"/>
      <c r="B127" s="4"/>
      <c r="C127" s="4"/>
      <c r="D127" s="4"/>
      <c r="E127" s="4"/>
      <c r="F127" s="4"/>
      <c r="G127" s="4"/>
      <c r="H127" s="1"/>
    </row>
    <row r="128" spans="1:8" x14ac:dyDescent="0.3">
      <c r="A128" s="1"/>
      <c r="B128" s="4"/>
      <c r="C128" s="4"/>
      <c r="D128" s="4"/>
      <c r="E128" s="4"/>
      <c r="F128" s="4"/>
      <c r="G128" s="4"/>
      <c r="H128" s="1"/>
    </row>
    <row r="129" spans="1:8" x14ac:dyDescent="0.3">
      <c r="A129" s="1"/>
      <c r="B129" s="4"/>
      <c r="C129" s="4"/>
      <c r="D129" s="4"/>
      <c r="E129" s="4"/>
      <c r="F129" s="4"/>
      <c r="G129" s="4"/>
      <c r="H129" s="1"/>
    </row>
    <row r="130" spans="1:8" x14ac:dyDescent="0.3">
      <c r="A130" s="1"/>
      <c r="B130" s="4"/>
      <c r="C130" s="4"/>
      <c r="D130" s="4"/>
      <c r="E130" s="4"/>
      <c r="F130" s="4"/>
      <c r="G130" s="4"/>
      <c r="H130" s="1"/>
    </row>
    <row r="131" spans="1:8" x14ac:dyDescent="0.3">
      <c r="A131" s="1"/>
      <c r="B131" s="4"/>
      <c r="C131" s="4"/>
      <c r="D131" s="4"/>
      <c r="E131" s="4"/>
      <c r="F131" s="4"/>
      <c r="G131" s="4"/>
      <c r="H131" s="1"/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D8BD0-341B-4E6A-8690-4DCDC45E969A}">
  <dimension ref="A1:H9"/>
  <sheetViews>
    <sheetView workbookViewId="0">
      <selection activeCell="A2" sqref="A2"/>
    </sheetView>
  </sheetViews>
  <sheetFormatPr baseColWidth="10" defaultRowHeight="16.5" x14ac:dyDescent="0.3"/>
  <sheetData>
    <row r="1" spans="1:8" x14ac:dyDescent="0.3">
      <c r="A1" s="18" t="s">
        <v>30</v>
      </c>
      <c r="B1" s="18"/>
      <c r="C1" s="18"/>
      <c r="D1" s="18"/>
      <c r="E1" s="18"/>
      <c r="F1" s="18"/>
      <c r="G1" s="18"/>
      <c r="H1" s="18"/>
    </row>
    <row r="2" spans="1:8" x14ac:dyDescent="0.3">
      <c r="A2" s="11" t="s">
        <v>3</v>
      </c>
      <c r="B2" s="11" t="s">
        <v>28</v>
      </c>
      <c r="C2" s="11" t="s">
        <v>25</v>
      </c>
      <c r="D2" s="11" t="s">
        <v>27</v>
      </c>
      <c r="E2" s="11" t="s">
        <v>24</v>
      </c>
      <c r="F2" s="11" t="s">
        <v>22</v>
      </c>
      <c r="G2" s="11" t="s">
        <v>8</v>
      </c>
      <c r="H2" s="11" t="s">
        <v>9</v>
      </c>
    </row>
    <row r="3" spans="1:8" x14ac:dyDescent="0.3">
      <c r="A3" s="11">
        <v>1</v>
      </c>
      <c r="B3" s="4">
        <v>0</v>
      </c>
      <c r="C3" s="4">
        <v>1</v>
      </c>
      <c r="D3" s="4">
        <f>B3^3 - B3^2*EXP(-0.5*B3) - 3*B3 + 1</f>
        <v>1</v>
      </c>
      <c r="E3" s="4">
        <f>C3^3 - C3^2*EXP(-0.5*C3) - 3*C3 + 1</f>
        <v>-1.6065306597126332</v>
      </c>
      <c r="F3" s="4">
        <f>C3 - E3*(C3-B3)/(E3-D3)</f>
        <v>0.38365173119055074</v>
      </c>
      <c r="G3" s="14">
        <f>ABS(F3-C3)</f>
        <v>0.61634826880944926</v>
      </c>
      <c r="H3" s="1" t="str">
        <f>IF(OR(ABS(E3)&lt;CONFIG!$B$5,G3&lt;CONFIG!$B$5),"✓","→")</f>
        <v>→</v>
      </c>
    </row>
    <row r="4" spans="1:8" x14ac:dyDescent="0.3">
      <c r="A4" s="11">
        <f>A3+1</f>
        <v>2</v>
      </c>
      <c r="B4" s="4">
        <f>C3</f>
        <v>1</v>
      </c>
      <c r="C4" s="4">
        <f>F3</f>
        <v>0.38365173119055074</v>
      </c>
      <c r="D4" s="4">
        <f>E3</f>
        <v>-1.6065306597126332</v>
      </c>
      <c r="E4" s="4">
        <f>C4^3 - C4^2*EXP(-0.5*C4) - 3*C4 + 1</f>
        <v>-0.21598297232874852</v>
      </c>
      <c r="F4" s="4">
        <f>C4 - E4*(C4-B4)/(E4-D4)</f>
        <v>0.28791914158221388</v>
      </c>
      <c r="G4" s="14">
        <f>ABS(F4-C4)</f>
        <v>9.573258960833686E-2</v>
      </c>
      <c r="H4" s="1" t="str">
        <f>IF(OR(ABS(E4)&lt;CONFIG!$B$5,G4&lt;CONFIG!$B$5),"✓","→")</f>
        <v>→</v>
      </c>
    </row>
    <row r="5" spans="1:8" x14ac:dyDescent="0.3">
      <c r="A5" s="11">
        <f>A4+1</f>
        <v>3</v>
      </c>
      <c r="B5" s="4">
        <f>C4</f>
        <v>0.38365173119055074</v>
      </c>
      <c r="C5" s="4">
        <f>F4</f>
        <v>0.28791914158221388</v>
      </c>
      <c r="D5" s="4">
        <f>E4</f>
        <v>-0.21598297232874852</v>
      </c>
      <c r="E5" s="4">
        <f>C5^3 - C5^2*EXP(-0.5*C5) - 3*C5 + 1</f>
        <v>8.8327559886050122E-2</v>
      </c>
      <c r="F5" s="4">
        <f>C5 - E5*(C5-B5)/(E5-D5)</f>
        <v>0.31570597492030045</v>
      </c>
      <c r="G5" s="14">
        <f>ABS(F5-C5)</f>
        <v>2.778683333808657E-2</v>
      </c>
      <c r="H5" s="1" t="str">
        <f>IF(OR(ABS(E5)&lt;CONFIG!$B$5,G5&lt;CONFIG!$B$5),"✓","→")</f>
        <v>→</v>
      </c>
    </row>
    <row r="6" spans="1:8" x14ac:dyDescent="0.3">
      <c r="A6" s="11">
        <f>A5+1</f>
        <v>4</v>
      </c>
      <c r="B6" s="4">
        <f>C5</f>
        <v>0.28791914158221388</v>
      </c>
      <c r="C6" s="4">
        <f>F5</f>
        <v>0.31570597492030045</v>
      </c>
      <c r="D6" s="4">
        <f>E5</f>
        <v>8.8327559886050122E-2</v>
      </c>
      <c r="E6" s="4">
        <f>C6^3 - C6^2*EXP(-0.5*C6) - 3*C6 + 1</f>
        <v>-7.6737151754913135E-4</v>
      </c>
      <c r="F6" s="4">
        <f>C6 - E6*(C6-B6)/(E6-D6)</f>
        <v>0.3154666478998896</v>
      </c>
      <c r="G6" s="14">
        <f>ABS(F6-C6)</f>
        <v>2.3932702041085108E-4</v>
      </c>
      <c r="H6" s="1" t="str">
        <f>IF(OR(ABS(E6)&lt;CONFIG!$B$5,G6&lt;CONFIG!$B$5),"✓","→")</f>
        <v>→</v>
      </c>
    </row>
    <row r="7" spans="1:8" x14ac:dyDescent="0.3">
      <c r="A7" s="11">
        <f>A6+1</f>
        <v>5</v>
      </c>
      <c r="B7" s="4">
        <f>C6</f>
        <v>0.31570597492030045</v>
      </c>
      <c r="C7" s="4">
        <f>F6</f>
        <v>0.3154666478998896</v>
      </c>
      <c r="D7" s="4">
        <f>E6</f>
        <v>-7.6737151754913135E-4</v>
      </c>
      <c r="E7" s="4">
        <f>C7^3 - C7^2*EXP(-0.5*C7) - 3*C7 + 1</f>
        <v>-2.0693652400538554E-6</v>
      </c>
      <c r="F7" s="4">
        <f>C7 - E7*(C7-B7)/(E7-D7)</f>
        <v>0.31546600076331022</v>
      </c>
      <c r="G7" s="14">
        <f>ABS(F7-C7)</f>
        <v>6.4713657937920388E-7</v>
      </c>
      <c r="H7" s="1" t="str">
        <f>IF(OR(ABS(E7)&lt;CONFIG!$B$5,G7&lt;CONFIG!$B$5),"✓","→")</f>
        <v>✓</v>
      </c>
    </row>
    <row r="8" spans="1:8" x14ac:dyDescent="0.3">
      <c r="A8" s="1"/>
      <c r="B8" s="4"/>
      <c r="C8" s="4"/>
      <c r="D8" s="4"/>
      <c r="E8" s="4"/>
      <c r="F8" s="4"/>
      <c r="G8" s="4"/>
      <c r="H8" s="1"/>
    </row>
    <row r="9" spans="1:8" x14ac:dyDescent="0.3">
      <c r="A9" s="1"/>
      <c r="B9" s="3"/>
      <c r="C9" s="3"/>
      <c r="D9" s="3"/>
      <c r="E9" s="3"/>
      <c r="F9" s="3"/>
      <c r="G9" s="3"/>
      <c r="H9" s="1"/>
    </row>
  </sheetData>
  <mergeCells count="1"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A8C08-CA9E-4952-8B12-C39E7A9F22EB}">
  <dimension ref="A1:H8"/>
  <sheetViews>
    <sheetView workbookViewId="0">
      <selection activeCell="A2" sqref="A2"/>
    </sheetView>
  </sheetViews>
  <sheetFormatPr baseColWidth="10" defaultRowHeight="16.5" x14ac:dyDescent="0.3"/>
  <sheetData>
    <row r="1" spans="1:8" x14ac:dyDescent="0.3">
      <c r="A1" s="18" t="s">
        <v>30</v>
      </c>
      <c r="B1" s="18"/>
      <c r="C1" s="18"/>
      <c r="D1" s="18"/>
      <c r="E1" s="18"/>
      <c r="F1" s="18"/>
      <c r="G1" s="18"/>
      <c r="H1" s="18"/>
    </row>
    <row r="2" spans="1:8" x14ac:dyDescent="0.3">
      <c r="A2" s="11" t="s">
        <v>3</v>
      </c>
      <c r="B2" s="11" t="s">
        <v>28</v>
      </c>
      <c r="C2" s="11" t="s">
        <v>25</v>
      </c>
      <c r="D2" s="11" t="s">
        <v>27</v>
      </c>
      <c r="E2" s="11" t="s">
        <v>24</v>
      </c>
      <c r="F2" s="11" t="s">
        <v>22</v>
      </c>
      <c r="G2" s="11" t="s">
        <v>8</v>
      </c>
      <c r="H2" s="11" t="s">
        <v>9</v>
      </c>
    </row>
    <row r="3" spans="1:8" x14ac:dyDescent="0.3">
      <c r="A3" s="11">
        <v>1</v>
      </c>
      <c r="B3" s="4">
        <v>1.5</v>
      </c>
      <c r="C3" s="4">
        <v>2</v>
      </c>
      <c r="D3" s="4">
        <f>B3^3 - B3^2*EXP(-0.5*B3) - 3*B3 + 1</f>
        <v>-1.1878247436672833</v>
      </c>
      <c r="E3" s="4">
        <f>C3^3 - C3^2*EXP(-0.5*C3) - 3*C3 + 1</f>
        <v>1.5284822353142307</v>
      </c>
      <c r="F3" s="4">
        <f t="shared" ref="F3:F8" si="0">C3 - E3*(C3-B3)/(E3-D3)</f>
        <v>1.7186469999264702</v>
      </c>
      <c r="G3" s="14">
        <f t="shared" ref="G3:G8" si="1">ABS(F3-C3)</f>
        <v>0.28135300007352981</v>
      </c>
      <c r="H3" s="1" t="str">
        <f>IF(OR(ABS(E3)&lt;CONFIG!$B$5,G3&lt;CONFIG!$B$5),"✓","→")</f>
        <v>→</v>
      </c>
    </row>
    <row r="4" spans="1:8" x14ac:dyDescent="0.3">
      <c r="A4" s="11">
        <f>A3+1</f>
        <v>2</v>
      </c>
      <c r="B4" s="4">
        <f>C3</f>
        <v>2</v>
      </c>
      <c r="C4" s="4">
        <f>F3</f>
        <v>1.7186469999264702</v>
      </c>
      <c r="D4" s="4">
        <f>E3</f>
        <v>1.5284822353142307</v>
      </c>
      <c r="E4" s="4">
        <f>C4^3 - C4^2*EXP(-0.5*C4) - 3*C4 + 1</f>
        <v>-0.33025150259725455</v>
      </c>
      <c r="F4" s="4">
        <f t="shared" si="0"/>
        <v>1.7686365434201674</v>
      </c>
      <c r="G4" s="14">
        <f t="shared" si="1"/>
        <v>4.9989543493697219E-2</v>
      </c>
      <c r="H4" s="1" t="str">
        <f>IF(OR(ABS(E4)&lt;CONFIG!$B$5,G4&lt;CONFIG!$B$5),"✓","→")</f>
        <v>→</v>
      </c>
    </row>
    <row r="5" spans="1:8" x14ac:dyDescent="0.3">
      <c r="A5" s="11">
        <f>A4+1</f>
        <v>3</v>
      </c>
      <c r="B5" s="4">
        <f>C4</f>
        <v>1.7186469999264702</v>
      </c>
      <c r="C5" s="4">
        <f>F4</f>
        <v>1.7686365434201674</v>
      </c>
      <c r="D5" s="4">
        <f>E4</f>
        <v>-0.33025150259725455</v>
      </c>
      <c r="E5" s="4">
        <f>C5^3 - C5^2*EXP(-0.5*C5) - 3*C5 + 1</f>
        <v>-6.5362872245422032E-2</v>
      </c>
      <c r="F5" s="4">
        <f t="shared" si="0"/>
        <v>1.7809717657384887</v>
      </c>
      <c r="G5" s="14">
        <f t="shared" si="1"/>
        <v>1.2335222318321293E-2</v>
      </c>
      <c r="H5" s="1" t="str">
        <f>IF(OR(ABS(E5)&lt;CONFIG!$B$5,G5&lt;CONFIG!$B$5),"✓","→")</f>
        <v>→</v>
      </c>
    </row>
    <row r="6" spans="1:8" x14ac:dyDescent="0.3">
      <c r="A6" s="11">
        <f>A5+1</f>
        <v>4</v>
      </c>
      <c r="B6" s="4">
        <f>C5</f>
        <v>1.7686365434201674</v>
      </c>
      <c r="C6" s="4">
        <f>F5</f>
        <v>1.7809717657384887</v>
      </c>
      <c r="D6" s="4">
        <f>E5</f>
        <v>-6.5362872245422032E-2</v>
      </c>
      <c r="E6" s="4">
        <f>C6^3 - C6^2*EXP(-0.5*C6) - 3*C6 + 1</f>
        <v>4.1685709323697751E-3</v>
      </c>
      <c r="F6" s="4">
        <f t="shared" si="0"/>
        <v>1.7802322406135895</v>
      </c>
      <c r="G6" s="14">
        <f t="shared" si="1"/>
        <v>7.3952512489916522E-4</v>
      </c>
      <c r="H6" s="1" t="str">
        <f>IF(OR(ABS(E6)&lt;CONFIG!$B$5,G6&lt;CONFIG!$B$5),"✓","→")</f>
        <v>→</v>
      </c>
    </row>
    <row r="7" spans="1:8" x14ac:dyDescent="0.3">
      <c r="A7" s="11">
        <f>A6+1</f>
        <v>5</v>
      </c>
      <c r="B7" s="4">
        <f>C6</f>
        <v>1.7809717657384887</v>
      </c>
      <c r="C7" s="4">
        <f>F6</f>
        <v>1.7802322406135895</v>
      </c>
      <c r="D7" s="4">
        <f>E6</f>
        <v>4.1685709323697751E-3</v>
      </c>
      <c r="E7" s="4">
        <f>C7^3 - C7^2*EXP(-0.5*C7) - 3*C7 + 1</f>
        <v>-4.7052758239907178E-5</v>
      </c>
      <c r="F7" s="4">
        <f t="shared" si="0"/>
        <v>1.7802404948363257</v>
      </c>
      <c r="G7" s="14">
        <f t="shared" si="1"/>
        <v>8.2542227362036868E-6</v>
      </c>
      <c r="H7" s="1" t="str">
        <f>IF(OR(ABS(E7)&lt;CONFIG!$B$5,G7&lt;CONFIG!$B$5),"✓","→")</f>
        <v>→</v>
      </c>
    </row>
    <row r="8" spans="1:8" x14ac:dyDescent="0.3">
      <c r="A8" s="11">
        <f>A7+1</f>
        <v>6</v>
      </c>
      <c r="B8" s="4">
        <f>C7</f>
        <v>1.7802322406135895</v>
      </c>
      <c r="C8" s="4">
        <f>F7</f>
        <v>1.7802404948363257</v>
      </c>
      <c r="D8" s="4">
        <f>E7</f>
        <v>-4.7052758239907178E-5</v>
      </c>
      <c r="E8" s="4">
        <f>C8^3 - C8^2*EXP(-0.5*C8) - 3*C8 + 1</f>
        <v>-3.3193495951877594E-8</v>
      </c>
      <c r="F8" s="4">
        <f t="shared" si="0"/>
        <v>1.7802405006634003</v>
      </c>
      <c r="G8" s="14">
        <f t="shared" si="1"/>
        <v>5.8270746006172658E-9</v>
      </c>
      <c r="H8" s="1" t="str">
        <f>IF(OR(ABS(E8)&lt;CONFIG!$B$5,G8&lt;CONFIG!$B$5),"✓","→")</f>
        <v>✓</v>
      </c>
    </row>
  </sheetData>
  <mergeCells count="1">
    <mergeCell ref="A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02972-4F09-4188-BE52-1D3F077A1DED}">
  <dimension ref="A1:D12"/>
  <sheetViews>
    <sheetView workbookViewId="0">
      <selection activeCell="D19" sqref="D19"/>
    </sheetView>
  </sheetViews>
  <sheetFormatPr baseColWidth="10" defaultRowHeight="16.5" x14ac:dyDescent="0.3"/>
  <cols>
    <col min="1" max="1" width="16.875" customWidth="1"/>
    <col min="2" max="2" width="11.5" customWidth="1"/>
    <col min="3" max="3" width="13.25" customWidth="1"/>
  </cols>
  <sheetData>
    <row r="1" spans="1:4" x14ac:dyDescent="0.3">
      <c r="A1" s="16" t="s">
        <v>29</v>
      </c>
      <c r="B1" s="16"/>
      <c r="C1" s="16"/>
      <c r="D1" s="3"/>
    </row>
    <row r="2" spans="1:4" x14ac:dyDescent="0.3">
      <c r="A2" s="18" t="s">
        <v>30</v>
      </c>
      <c r="B2" s="18"/>
      <c r="C2" s="18"/>
      <c r="D2" s="3"/>
    </row>
    <row r="3" spans="1:4" x14ac:dyDescent="0.3">
      <c r="A3" s="3"/>
      <c r="B3" s="3"/>
      <c r="C3" s="3"/>
      <c r="D3" s="3"/>
    </row>
    <row r="4" spans="1:4" x14ac:dyDescent="0.3">
      <c r="A4" s="8" t="s">
        <v>11</v>
      </c>
      <c r="B4" s="3">
        <f>'SEC=-1.5,-0.5'!C12</f>
        <v>-1.2340932740890425</v>
      </c>
      <c r="C4" s="15">
        <f>'SEC=-1.5,-0.5'!G12</f>
        <v>1.1611065442451718E-9</v>
      </c>
      <c r="D4" s="3"/>
    </row>
    <row r="5" spans="1:4" x14ac:dyDescent="0.3">
      <c r="A5" s="8" t="s">
        <v>12</v>
      </c>
      <c r="B5" s="3">
        <f>COUNTIF('SEC=-1.5,-0.5'!H3:H20,"→")+1</f>
        <v>10</v>
      </c>
      <c r="C5" s="3"/>
      <c r="D5" s="3"/>
    </row>
    <row r="6" spans="1:4" x14ac:dyDescent="0.3">
      <c r="A6" s="3"/>
      <c r="B6" s="3"/>
      <c r="C6" s="3"/>
      <c r="D6" s="3"/>
    </row>
    <row r="7" spans="1:4" x14ac:dyDescent="0.3">
      <c r="A7" s="11" t="s">
        <v>13</v>
      </c>
      <c r="B7" s="3">
        <f>'SEC=1,0'!C6</f>
        <v>0.31570597492030045</v>
      </c>
      <c r="C7" s="14">
        <f>'SEC=1,0'!G6</f>
        <v>2.3932702041085108E-4</v>
      </c>
      <c r="D7" s="3"/>
    </row>
    <row r="8" spans="1:4" x14ac:dyDescent="0.3">
      <c r="A8" s="11" t="s">
        <v>12</v>
      </c>
      <c r="B8" s="1">
        <f>COUNTIF('SEC=1,0'!H3:H13,"→")+1</f>
        <v>5</v>
      </c>
      <c r="C8" s="3"/>
      <c r="D8" s="3"/>
    </row>
    <row r="9" spans="1:4" x14ac:dyDescent="0.3">
      <c r="A9" s="3"/>
      <c r="B9" s="3"/>
      <c r="C9" s="3"/>
      <c r="D9" s="3"/>
    </row>
    <row r="10" spans="1:4" x14ac:dyDescent="0.3">
      <c r="A10" s="11" t="s">
        <v>13</v>
      </c>
      <c r="B10" s="3">
        <f>'SEC=1.5,2.0'!C8</f>
        <v>1.7802404948363257</v>
      </c>
      <c r="C10" s="14">
        <f>'SEC=1.5,2.0'!G8</f>
        <v>5.8270746006172658E-9</v>
      </c>
      <c r="D10" s="3"/>
    </row>
    <row r="11" spans="1:4" x14ac:dyDescent="0.3">
      <c r="A11" s="11" t="s">
        <v>12</v>
      </c>
      <c r="B11" s="1">
        <f>COUNTIF('SEC=1.5,2.0'!H3:H18,"→")+1</f>
        <v>6</v>
      </c>
      <c r="C11" s="3"/>
    </row>
    <row r="12" spans="1:4" x14ac:dyDescent="0.3">
      <c r="A12" s="3"/>
      <c r="B12" s="3"/>
      <c r="C12" s="3"/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CONFIG</vt:lpstr>
      <vt:lpstr>RAÍZ 1</vt:lpstr>
      <vt:lpstr>RAÍZ 2</vt:lpstr>
      <vt:lpstr>RAÍZ 3</vt:lpstr>
      <vt:lpstr>RESULTADOS</vt:lpstr>
      <vt:lpstr>NEWTON=-1.0</vt:lpstr>
      <vt:lpstr>NEWTON=0.5</vt:lpstr>
      <vt:lpstr>NEWTON=1.8</vt:lpstr>
      <vt:lpstr>RESULTADOS (2)</vt:lpstr>
      <vt:lpstr>SEC=-1.5,-0.5</vt:lpstr>
      <vt:lpstr>SEC=1,0</vt:lpstr>
      <vt:lpstr>SEC=1.5,2.0</vt:lpstr>
      <vt:lpstr>RESULTADOS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Nicole_Perez</dc:creator>
  <cp:lastModifiedBy>Nicole_Perez</cp:lastModifiedBy>
  <dcterms:created xsi:type="dcterms:W3CDTF">2025-11-29T16:06:55Z</dcterms:created>
  <dcterms:modified xsi:type="dcterms:W3CDTF">2025-11-30T00:58:06Z</dcterms:modified>
</cp:coreProperties>
</file>