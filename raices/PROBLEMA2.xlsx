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Nicole_Perez\Documents\metodos\raices\MÉTODO_BISECCIÓN\"/>
    </mc:Choice>
  </mc:AlternateContent>
  <xr:revisionPtr revIDLastSave="0" documentId="13_ncr:1_{52398D36-DB39-404D-BC94-7B675BCB6866}" xr6:coauthVersionLast="47" xr6:coauthVersionMax="47" xr10:uidLastSave="{00000000-0000-0000-0000-000000000000}"/>
  <bookViews>
    <workbookView xWindow="14400" yWindow="0" windowWidth="14400" windowHeight="15600" xr2:uid="{65C2803D-6914-4A81-A4F2-DF31DBF10844}"/>
  </bookViews>
  <sheets>
    <sheet name="CONFIG" sheetId="1" r:id="rId1"/>
    <sheet name="RAÍZ" sheetId="2" r:id="rId2"/>
    <sheet name="RESULTADOS" sheetId="4" r:id="rId3"/>
    <sheet name="NEWTON=5.5" sheetId="5" r:id="rId4"/>
    <sheet name="RESULTADOS (2)" sheetId="6" r:id="rId5"/>
    <sheet name="SEC=5.0,6.0" sheetId="7" r:id="rId6"/>
    <sheet name="RESULTADOS (3)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1" l="1"/>
  <c r="C20" i="1"/>
  <c r="B20" i="1"/>
  <c r="C16" i="1"/>
  <c r="B16" i="1"/>
  <c r="C12" i="1"/>
  <c r="B12" i="1"/>
  <c r="G4" i="5" l="1"/>
  <c r="G5" i="5"/>
  <c r="G3" i="5"/>
  <c r="B17" i="1" s="1"/>
  <c r="H4" i="7"/>
  <c r="H5" i="7"/>
  <c r="H6" i="7"/>
  <c r="H3" i="7"/>
  <c r="D3" i="7"/>
  <c r="E3" i="7"/>
  <c r="D4" i="7" s="1"/>
  <c r="A4" i="7"/>
  <c r="A5" i="7" s="1"/>
  <c r="A6" i="7" s="1"/>
  <c r="B4" i="7"/>
  <c r="F3" i="7" l="1"/>
  <c r="C3" i="5"/>
  <c r="D3" i="5"/>
  <c r="A4" i="5"/>
  <c r="A5" i="5" s="1"/>
  <c r="C4" i="7" l="1"/>
  <c r="G3" i="7"/>
  <c r="E3" i="5"/>
  <c r="B5" i="7" l="1"/>
  <c r="E4" i="7"/>
  <c r="D5" i="7" s="1"/>
  <c r="B4" i="5"/>
  <c r="F3" i="5"/>
  <c r="E3" i="2"/>
  <c r="D3" i="2"/>
  <c r="F3" i="2" s="1"/>
  <c r="H3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G3" i="2"/>
  <c r="F4" i="7" l="1"/>
  <c r="C4" i="5"/>
  <c r="D4" i="5"/>
  <c r="E4" i="5" s="1"/>
  <c r="B4" i="2"/>
  <c r="E4" i="2" s="1"/>
  <c r="C4" i="2"/>
  <c r="G4" i="7" l="1"/>
  <c r="C5" i="7"/>
  <c r="B5" i="5"/>
  <c r="F4" i="5"/>
  <c r="C5" i="5"/>
  <c r="E5" i="5" s="1"/>
  <c r="B4" i="6" s="1"/>
  <c r="D5" i="5"/>
  <c r="G4" i="2"/>
  <c r="D4" i="2"/>
  <c r="F4" i="2" s="1"/>
  <c r="H4" i="2" s="1"/>
  <c r="B6" i="7" l="1"/>
  <c r="E5" i="7"/>
  <c r="D6" i="7" s="1"/>
  <c r="B5" i="6"/>
  <c r="F5" i="5"/>
  <c r="C4" i="6" s="1"/>
  <c r="C5" i="2"/>
  <c r="B5" i="2"/>
  <c r="F5" i="7" l="1"/>
  <c r="D5" i="2"/>
  <c r="F5" i="2" s="1"/>
  <c r="E5" i="2"/>
  <c r="G5" i="2"/>
  <c r="G5" i="7" l="1"/>
  <c r="C6" i="7"/>
  <c r="B6" i="2"/>
  <c r="C6" i="2"/>
  <c r="G6" i="2" s="1"/>
  <c r="H5" i="2"/>
  <c r="B4" i="8" l="1"/>
  <c r="E6" i="7"/>
  <c r="F6" i="7" s="1"/>
  <c r="E6" i="2"/>
  <c r="D6" i="2"/>
  <c r="F6" i="2" s="1"/>
  <c r="H6" i="2" s="1"/>
  <c r="G6" i="7" l="1"/>
  <c r="C4" i="8" s="1"/>
  <c r="B5" i="8"/>
  <c r="B7" i="2"/>
  <c r="C7" i="2"/>
  <c r="G7" i="2" s="1"/>
  <c r="E7" i="2" l="1"/>
  <c r="D7" i="2"/>
  <c r="F7" i="2" s="1"/>
  <c r="H7" i="2" s="1"/>
  <c r="B8" i="2" l="1"/>
  <c r="C8" i="2"/>
  <c r="G8" i="2" s="1"/>
  <c r="D8" i="2" l="1"/>
  <c r="F8" i="2" s="1"/>
  <c r="H8" i="2" s="1"/>
  <c r="E8" i="2"/>
  <c r="C9" i="2" l="1"/>
  <c r="B9" i="2"/>
  <c r="D9" i="2" l="1"/>
  <c r="F9" i="2" s="1"/>
  <c r="E9" i="2"/>
  <c r="G9" i="2"/>
  <c r="B10" i="2" l="1"/>
  <c r="C10" i="2"/>
  <c r="G10" i="2" s="1"/>
  <c r="H9" i="2"/>
  <c r="D10" i="2" l="1"/>
  <c r="F10" i="2" s="1"/>
  <c r="H10" i="2" s="1"/>
  <c r="E10" i="2"/>
  <c r="B11" i="2" l="1"/>
  <c r="C11" i="2"/>
  <c r="G11" i="2" s="1"/>
  <c r="D11" i="2" l="1"/>
  <c r="F11" i="2" s="1"/>
  <c r="H11" i="2" s="1"/>
  <c r="E11" i="2"/>
  <c r="B12" i="2" l="1"/>
  <c r="C12" i="2"/>
  <c r="G12" i="2" s="1"/>
  <c r="D12" i="2" l="1"/>
  <c r="F12" i="2" s="1"/>
  <c r="H12" i="2" s="1"/>
  <c r="E12" i="2"/>
  <c r="B13" i="2" l="1"/>
  <c r="C13" i="2"/>
  <c r="G13" i="2" s="1"/>
  <c r="D13" i="2" l="1"/>
  <c r="F13" i="2" s="1"/>
  <c r="H13" i="2" s="1"/>
  <c r="E13" i="2"/>
  <c r="B14" i="2" l="1"/>
  <c r="C14" i="2"/>
  <c r="G14" i="2" s="1"/>
  <c r="D14" i="2" l="1"/>
  <c r="F14" i="2" s="1"/>
  <c r="H14" i="2" s="1"/>
  <c r="E14" i="2"/>
  <c r="B15" i="2" l="1"/>
  <c r="C15" i="2"/>
  <c r="G15" i="2" s="1"/>
  <c r="D15" i="2" l="1"/>
  <c r="F15" i="2" s="1"/>
  <c r="H15" i="2" s="1"/>
  <c r="E15" i="2"/>
  <c r="C16" i="2" l="1"/>
  <c r="B16" i="2"/>
  <c r="D16" i="2" l="1"/>
  <c r="F16" i="2" s="1"/>
  <c r="E16" i="2"/>
  <c r="G16" i="2"/>
  <c r="B17" i="2" l="1"/>
  <c r="C17" i="2"/>
  <c r="G17" i="2" s="1"/>
  <c r="H16" i="2"/>
  <c r="D17" i="2" l="1"/>
  <c r="F17" i="2" s="1"/>
  <c r="H17" i="2" s="1"/>
  <c r="E17" i="2"/>
  <c r="B18" i="2" l="1"/>
  <c r="C18" i="2"/>
  <c r="G18" i="2" s="1"/>
  <c r="D18" i="2" l="1"/>
  <c r="F18" i="2" s="1"/>
  <c r="H18" i="2" s="1"/>
  <c r="E18" i="2"/>
  <c r="B19" i="2" l="1"/>
  <c r="C19" i="2"/>
  <c r="G19" i="2" s="1"/>
  <c r="D19" i="2" l="1"/>
  <c r="F19" i="2" s="1"/>
  <c r="H19" i="2" s="1"/>
  <c r="E19" i="2"/>
  <c r="B20" i="2" l="1"/>
  <c r="C20" i="2"/>
  <c r="G20" i="2" s="1"/>
  <c r="D20" i="2" l="1"/>
  <c r="F20" i="2" s="1"/>
  <c r="H20" i="2" s="1"/>
  <c r="E20" i="2"/>
  <c r="B21" i="2" l="1"/>
  <c r="C21" i="2"/>
  <c r="G21" i="2" s="1"/>
  <c r="D21" i="2" l="1"/>
  <c r="F21" i="2" s="1"/>
  <c r="H21" i="2" s="1"/>
  <c r="E21" i="2"/>
  <c r="B22" i="2" l="1"/>
  <c r="C22" i="2"/>
  <c r="G22" i="2" s="1"/>
  <c r="D22" i="2" l="1"/>
  <c r="E22" i="2"/>
  <c r="F22" i="2" l="1"/>
  <c r="B4" i="4"/>
  <c r="C23" i="2" l="1"/>
  <c r="C4" i="4"/>
  <c r="H22" i="2"/>
  <c r="B5" i="4" s="1"/>
  <c r="B23" i="2"/>
  <c r="D23" i="2" l="1"/>
  <c r="F23" i="2" s="1"/>
  <c r="E23" i="2"/>
  <c r="G23" i="2"/>
  <c r="H23" i="2" l="1"/>
  <c r="B13" i="1" s="1"/>
</calcChain>
</file>

<file path=xl/sharedStrings.xml><?xml version="1.0" encoding="utf-8"?>
<sst xmlns="http://schemas.openxmlformats.org/spreadsheetml/2006/main" count="57" uniqueCount="33">
  <si>
    <t>PARÁMETROS:</t>
  </si>
  <si>
    <t>Tolerancia (TOL):</t>
  </si>
  <si>
    <t>Máx iteraciones:</t>
  </si>
  <si>
    <t>ITER</t>
  </si>
  <si>
    <t>a</t>
  </si>
  <si>
    <t>b</t>
  </si>
  <si>
    <t>c</t>
  </si>
  <si>
    <t>f(a)</t>
  </si>
  <si>
    <t>Error</t>
  </si>
  <si>
    <t>¿Parar?</t>
  </si>
  <si>
    <t>f(c)</t>
  </si>
  <si>
    <t>Iteraciones:</t>
  </si>
  <si>
    <t>Ecuación: 3sin(0.5x) - 0.5x + 2 = 0</t>
  </si>
  <si>
    <t>Función f(x):</t>
  </si>
  <si>
    <t>RAÍZ :</t>
  </si>
  <si>
    <t>RESULTADOS PROBLEMA 2</t>
  </si>
  <si>
    <t>"=3*SENO(0.5*x) - 0.5*x + 2"</t>
  </si>
  <si>
    <t>MÉTODO DE LA BISECCIÓN</t>
  </si>
  <si>
    <t>MÉTODO DE BISCECCIÓN</t>
  </si>
  <si>
    <t>x_n+1</t>
  </si>
  <si>
    <t>f'(x_n)</t>
  </si>
  <si>
    <t>f(x_n)</t>
  </si>
  <si>
    <t>x_n</t>
  </si>
  <si>
    <t>NEWTON x₀=3.5</t>
  </si>
  <si>
    <t>MÉTODO NEWTON RAPHSON</t>
  </si>
  <si>
    <t>MÉTODO DE NEWTON RAPHSON - PROBLEMA 2</t>
  </si>
  <si>
    <t>f(x_n-1)</t>
  </si>
  <si>
    <t>x_n-1</t>
  </si>
  <si>
    <t>RAÍZ 1:</t>
  </si>
  <si>
    <t>MÉTODO DE LA SECANTE</t>
  </si>
  <si>
    <t>RESULTADOS FINALES</t>
  </si>
  <si>
    <t>Raíz</t>
  </si>
  <si>
    <t>METODO DE LA BISCECCIÓN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</si>
</sst>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1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left" vertical="center" indent="1"/>
    </xf>
    <xf numFmtId="11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la de reuniones Ion">
  <a:themeElements>
    <a:clrScheme name="Sala de reuniones Ion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Sala de reuniones 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ala de reuniones 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BB83-8B0A-4812-9804-F2030B7DF816}">
  <dimension ref="A1:E21"/>
  <sheetViews>
    <sheetView tabSelected="1" workbookViewId="0">
      <selection activeCell="A19" activeCellId="1" sqref="A15:C15 A19:C19"/>
    </sheetView>
  </sheetViews>
  <sheetFormatPr baseColWidth="10" defaultRowHeight="16.5" x14ac:dyDescent="0.3"/>
  <cols>
    <col min="1" max="1" width="30.25" customWidth="1"/>
    <col min="2" max="3" width="12.625" bestFit="1" customWidth="1"/>
  </cols>
  <sheetData>
    <row r="1" spans="1:5" x14ac:dyDescent="0.3">
      <c r="A1" s="17" t="s">
        <v>25</v>
      </c>
      <c r="B1" s="17"/>
      <c r="C1" s="17"/>
      <c r="D1" s="17"/>
      <c r="E1" s="17"/>
    </row>
    <row r="2" spans="1:5" x14ac:dyDescent="0.3">
      <c r="A2" s="17" t="s">
        <v>12</v>
      </c>
      <c r="B2" s="17"/>
      <c r="C2" s="17"/>
      <c r="D2" s="17"/>
      <c r="E2" s="3"/>
    </row>
    <row r="3" spans="1:5" x14ac:dyDescent="0.3">
      <c r="A3" s="2"/>
      <c r="B3" s="2"/>
      <c r="C3" s="2"/>
      <c r="D3" s="2"/>
    </row>
    <row r="4" spans="1:5" x14ac:dyDescent="0.3">
      <c r="A4" s="17" t="s">
        <v>0</v>
      </c>
      <c r="B4" s="17"/>
      <c r="C4" s="17"/>
      <c r="D4" s="2"/>
    </row>
    <row r="5" spans="1:5" x14ac:dyDescent="0.3">
      <c r="A5" s="7" t="s">
        <v>1</v>
      </c>
      <c r="B5" s="2">
        <v>9.9999999999999995E-7</v>
      </c>
      <c r="D5" s="2"/>
    </row>
    <row r="6" spans="1:5" x14ac:dyDescent="0.3">
      <c r="A6" s="7" t="s">
        <v>2</v>
      </c>
      <c r="B6" s="2">
        <v>20</v>
      </c>
      <c r="D6" s="2"/>
    </row>
    <row r="7" spans="1:5" x14ac:dyDescent="0.3">
      <c r="A7" s="10" t="s">
        <v>13</v>
      </c>
      <c r="B7" s="16" t="s">
        <v>16</v>
      </c>
      <c r="C7" s="16"/>
      <c r="D7" s="2"/>
    </row>
    <row r="8" spans="1:5" x14ac:dyDescent="0.3">
      <c r="A8" s="2"/>
      <c r="B8" s="2"/>
      <c r="C8" s="2"/>
      <c r="D8" s="2"/>
    </row>
    <row r="9" spans="1:5" x14ac:dyDescent="0.3">
      <c r="A9" s="20" t="s">
        <v>30</v>
      </c>
      <c r="B9" s="20"/>
      <c r="C9" s="20"/>
      <c r="D9" s="2"/>
    </row>
    <row r="10" spans="1:5" x14ac:dyDescent="0.3">
      <c r="A10" s="21"/>
      <c r="B10" s="21" t="s">
        <v>31</v>
      </c>
      <c r="C10" s="21" t="s">
        <v>8</v>
      </c>
      <c r="D10" s="2"/>
    </row>
    <row r="11" spans="1:5" x14ac:dyDescent="0.3">
      <c r="A11" s="19" t="s">
        <v>32</v>
      </c>
      <c r="B11" s="19"/>
      <c r="C11" s="19"/>
      <c r="D11" s="2"/>
    </row>
    <row r="12" spans="1:5" x14ac:dyDescent="0.3">
      <c r="A12" s="9" t="s">
        <v>14</v>
      </c>
      <c r="B12" s="4">
        <f>RAÍZ!D22</f>
        <v>5.7064180374145508</v>
      </c>
      <c r="C12" s="4">
        <f>RAÍZ!F22</f>
        <v>-7.7926163744024279E-8</v>
      </c>
      <c r="D12" s="2"/>
    </row>
    <row r="13" spans="1:5" x14ac:dyDescent="0.3">
      <c r="A13" s="9" t="s">
        <v>11</v>
      </c>
      <c r="B13" s="4">
        <f>COUNTIF(RAÍZ!H2:H30,"→")+1</f>
        <v>20</v>
      </c>
      <c r="C13" s="4"/>
    </row>
    <row r="15" spans="1:5" x14ac:dyDescent="0.3">
      <c r="A15" s="19" t="s">
        <v>24</v>
      </c>
      <c r="B15" s="19"/>
      <c r="C15" s="19"/>
    </row>
    <row r="16" spans="1:5" x14ac:dyDescent="0.3">
      <c r="A16" s="9" t="s">
        <v>23</v>
      </c>
      <c r="B16" s="4">
        <f>'NEWTON=5.5'!E5</f>
        <v>5.7064179972061719</v>
      </c>
      <c r="C16" s="14">
        <f>'NEWTON=5.5'!F5</f>
        <v>4.8058010992946265E-7</v>
      </c>
    </row>
    <row r="17" spans="1:3" x14ac:dyDescent="0.3">
      <c r="A17" s="15" t="s">
        <v>11</v>
      </c>
      <c r="B17" s="4">
        <f>COUNTIF('NEWTON=5.5'!G2:G30,"→")+1</f>
        <v>3</v>
      </c>
      <c r="C17" s="4"/>
    </row>
    <row r="19" spans="1:3" x14ac:dyDescent="0.3">
      <c r="A19" s="19" t="s">
        <v>29</v>
      </c>
      <c r="B19" s="19"/>
      <c r="C19" s="19"/>
    </row>
    <row r="20" spans="1:3" x14ac:dyDescent="0.3">
      <c r="A20" s="9" t="s">
        <v>28</v>
      </c>
      <c r="B20" s="4">
        <f>'SEC=5.0,6.0'!C6</f>
        <v>5.7064181527107776</v>
      </c>
      <c r="C20" s="14">
        <f>'SEC=5.0,6.0'!G6</f>
        <v>1.5550627807670026E-7</v>
      </c>
    </row>
    <row r="21" spans="1:3" x14ac:dyDescent="0.3">
      <c r="A21" s="9" t="s">
        <v>11</v>
      </c>
      <c r="B21" s="4">
        <f>COUNTIF('SEC=5.0,6.0'!H2:H22,"→")+1</f>
        <v>4</v>
      </c>
      <c r="C21" s="4"/>
    </row>
  </sheetData>
  <mergeCells count="8">
    <mergeCell ref="A11:C11"/>
    <mergeCell ref="A15:C15"/>
    <mergeCell ref="A19:C19"/>
    <mergeCell ref="B7:C7"/>
    <mergeCell ref="A1:E1"/>
    <mergeCell ref="A4:C4"/>
    <mergeCell ref="A2:D2"/>
    <mergeCell ref="A9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DFA3-04DF-4E47-A28C-674CCF9F121A}">
  <dimension ref="A1:H153"/>
  <sheetViews>
    <sheetView zoomScale="98" zoomScaleNormal="98" workbookViewId="0">
      <selection activeCell="I10" sqref="I10"/>
    </sheetView>
  </sheetViews>
  <sheetFormatPr baseColWidth="10" defaultRowHeight="16.5" x14ac:dyDescent="0.3"/>
  <cols>
    <col min="1" max="4" width="11.5" customWidth="1"/>
    <col min="5" max="5" width="14.25" customWidth="1"/>
    <col min="6" max="6" width="13.25" customWidth="1"/>
    <col min="7" max="8" width="11.5" customWidth="1"/>
  </cols>
  <sheetData>
    <row r="1" spans="1:8" x14ac:dyDescent="0.3">
      <c r="A1" s="18" t="s">
        <v>17</v>
      </c>
      <c r="B1" s="18"/>
      <c r="C1" s="18"/>
      <c r="D1" s="18"/>
      <c r="E1" s="18"/>
      <c r="F1" s="18"/>
      <c r="G1" s="18"/>
      <c r="H1" s="18"/>
    </row>
    <row r="2" spans="1:8" x14ac:dyDescent="0.3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10</v>
      </c>
      <c r="G2" s="7" t="s">
        <v>8</v>
      </c>
      <c r="H2" s="7" t="s">
        <v>9</v>
      </c>
    </row>
    <row r="3" spans="1:8" x14ac:dyDescent="0.3">
      <c r="A3" s="8">
        <v>1</v>
      </c>
      <c r="B3" s="5">
        <v>5</v>
      </c>
      <c r="C3" s="5">
        <v>6</v>
      </c>
      <c r="D3" s="5">
        <f>(B3+C3)/2</f>
        <v>5.5</v>
      </c>
      <c r="E3" s="5">
        <f>3*SIN(0.5*B3) - 0.5*B3 + 2</f>
        <v>1.2954164323118698</v>
      </c>
      <c r="F3" s="5">
        <f>3*SIN(0.5*D3) - 0.5*D3 + 2</f>
        <v>0.39498297615699496</v>
      </c>
      <c r="G3" s="5">
        <f>ABS(C3-B3)/2</f>
        <v>0.5</v>
      </c>
      <c r="H3" s="1" t="str">
        <f>IF(OR(ABS(F3)&lt;CONFIG!$B$5,G3&lt;CONFIG!$B$5),"✓","→")</f>
        <v>→</v>
      </c>
    </row>
    <row r="4" spans="1:8" x14ac:dyDescent="0.3">
      <c r="A4" s="8">
        <f>A3+1</f>
        <v>2</v>
      </c>
      <c r="B4" s="5">
        <f>IF(E3*F3&lt;0,B3,D3)</f>
        <v>5.5</v>
      </c>
      <c r="C4" s="5">
        <f>IF(E3*F3&lt;0,D3,C3)</f>
        <v>6</v>
      </c>
      <c r="D4" s="5">
        <f>(B4+C4)/2</f>
        <v>5.75</v>
      </c>
      <c r="E4" s="5">
        <f>3*SIN(0.5*B4) - 0.5*B4 + 2</f>
        <v>0.39498297615699496</v>
      </c>
      <c r="F4" s="5">
        <f>3*SIN(0.5*D4) - 0.5*D4 + 2</f>
        <v>-8.4662019909737651E-2</v>
      </c>
      <c r="G4" s="5">
        <f>ABS(C4-B4)/2</f>
        <v>0.25</v>
      </c>
      <c r="H4" s="1" t="str">
        <f>IF(OR(ABS(F4)&lt;CONFIG!$B$5,G4&lt;CONFIG!$B$5),"✓","→")</f>
        <v>→</v>
      </c>
    </row>
    <row r="5" spans="1:8" x14ac:dyDescent="0.3">
      <c r="A5" s="8">
        <f t="shared" ref="A5:A10" si="0">A4+1</f>
        <v>3</v>
      </c>
      <c r="B5" s="5">
        <f t="shared" ref="B5:B23" si="1">IF(E4*F4&lt;0,B4,D4)</f>
        <v>5.5</v>
      </c>
      <c r="C5" s="5">
        <f t="shared" ref="C5:C23" si="2">IF(E4*F4&lt;0,D4,C4)</f>
        <v>5.75</v>
      </c>
      <c r="D5" s="5">
        <f t="shared" ref="D5:D23" si="3">(B5+C5)/2</f>
        <v>5.625</v>
      </c>
      <c r="E5" s="5">
        <f t="shared" ref="E5:E23" si="4">3*SIN(0.5*B5) - 0.5*B5 + 2</f>
        <v>0.39498297615699496</v>
      </c>
      <c r="F5" s="5">
        <f t="shared" ref="F5:F23" si="5">3*SIN(0.5*D5) - 0.5*D5 + 2</f>
        <v>0.15705352099906067</v>
      </c>
      <c r="G5" s="5">
        <f t="shared" ref="G5:G23" si="6">ABS(C5-B5)/2</f>
        <v>0.125</v>
      </c>
      <c r="H5" s="1" t="str">
        <f>IF(OR(ABS(F5)&lt;CONFIG!$B$5,G5&lt;CONFIG!$B$5),"✓","→")</f>
        <v>→</v>
      </c>
    </row>
    <row r="6" spans="1:8" x14ac:dyDescent="0.3">
      <c r="A6" s="8">
        <f t="shared" si="0"/>
        <v>4</v>
      </c>
      <c r="B6" s="5">
        <f t="shared" si="1"/>
        <v>5.625</v>
      </c>
      <c r="C6" s="5">
        <f t="shared" si="2"/>
        <v>5.75</v>
      </c>
      <c r="D6" s="5">
        <f t="shared" si="3"/>
        <v>5.6875</v>
      </c>
      <c r="E6" s="5">
        <f t="shared" si="4"/>
        <v>0.15705352099906067</v>
      </c>
      <c r="F6" s="5">
        <f t="shared" si="5"/>
        <v>3.6625586454641201E-2</v>
      </c>
      <c r="G6" s="5">
        <f t="shared" si="6"/>
        <v>6.25E-2</v>
      </c>
      <c r="H6" s="1" t="str">
        <f>IF(OR(ABS(F6)&lt;CONFIG!$B$5,G6&lt;CONFIG!$B$5),"✓","→")</f>
        <v>→</v>
      </c>
    </row>
    <row r="7" spans="1:8" x14ac:dyDescent="0.3">
      <c r="A7" s="8">
        <f t="shared" si="0"/>
        <v>5</v>
      </c>
      <c r="B7" s="5">
        <f t="shared" si="1"/>
        <v>5.6875</v>
      </c>
      <c r="C7" s="5">
        <f t="shared" si="2"/>
        <v>5.75</v>
      </c>
      <c r="D7" s="5">
        <f t="shared" si="3"/>
        <v>5.71875</v>
      </c>
      <c r="E7" s="5">
        <f t="shared" si="4"/>
        <v>3.6625586454641201E-2</v>
      </c>
      <c r="F7" s="5">
        <f t="shared" si="5"/>
        <v>-2.3916234089780275E-2</v>
      </c>
      <c r="G7" s="5">
        <f t="shared" si="6"/>
        <v>3.125E-2</v>
      </c>
      <c r="H7" s="1" t="str">
        <f>IF(OR(ABS(F7)&lt;CONFIG!$B$5,G7&lt;CONFIG!$B$5),"✓","→")</f>
        <v>→</v>
      </c>
    </row>
    <row r="8" spans="1:8" x14ac:dyDescent="0.3">
      <c r="A8" s="8">
        <f t="shared" si="0"/>
        <v>6</v>
      </c>
      <c r="B8" s="5">
        <f t="shared" si="1"/>
        <v>5.6875</v>
      </c>
      <c r="C8" s="5">
        <f t="shared" si="2"/>
        <v>5.71875</v>
      </c>
      <c r="D8" s="5">
        <f t="shared" si="3"/>
        <v>5.703125</v>
      </c>
      <c r="E8" s="5">
        <f t="shared" si="4"/>
        <v>3.6625586454641201E-2</v>
      </c>
      <c r="F8" s="5">
        <f t="shared" si="5"/>
        <v>6.3808584027273962E-3</v>
      </c>
      <c r="G8" s="5">
        <f t="shared" si="6"/>
        <v>1.5625E-2</v>
      </c>
      <c r="H8" s="1" t="str">
        <f>IF(OR(ABS(F8)&lt;CONFIG!$B$5,G8&lt;CONFIG!$B$5),"✓","→")</f>
        <v>→</v>
      </c>
    </row>
    <row r="9" spans="1:8" x14ac:dyDescent="0.3">
      <c r="A9" s="8">
        <f t="shared" si="0"/>
        <v>7</v>
      </c>
      <c r="B9" s="5">
        <f t="shared" si="1"/>
        <v>5.703125</v>
      </c>
      <c r="C9" s="5">
        <f t="shared" si="2"/>
        <v>5.71875</v>
      </c>
      <c r="D9" s="5">
        <f t="shared" si="3"/>
        <v>5.7109375</v>
      </c>
      <c r="E9" s="5">
        <f t="shared" si="4"/>
        <v>6.3808584027273962E-3</v>
      </c>
      <c r="F9" s="5">
        <f t="shared" si="5"/>
        <v>-8.7612279860023179E-3</v>
      </c>
      <c r="G9" s="5">
        <f t="shared" si="6"/>
        <v>7.8125E-3</v>
      </c>
      <c r="H9" s="1" t="str">
        <f>IF(OR(ABS(F9)&lt;CONFIG!$B$5,G9&lt;CONFIG!$B$5),"✓","→")</f>
        <v>→</v>
      </c>
    </row>
    <row r="10" spans="1:8" x14ac:dyDescent="0.3">
      <c r="A10" s="8">
        <f t="shared" si="0"/>
        <v>8</v>
      </c>
      <c r="B10" s="5">
        <f t="shared" si="1"/>
        <v>5.703125</v>
      </c>
      <c r="C10" s="5">
        <f t="shared" si="2"/>
        <v>5.7109375</v>
      </c>
      <c r="D10" s="5">
        <f t="shared" si="3"/>
        <v>5.70703125</v>
      </c>
      <c r="E10" s="5">
        <f t="shared" si="4"/>
        <v>6.3808584027273962E-3</v>
      </c>
      <c r="F10" s="5">
        <f t="shared" si="5"/>
        <v>-1.1885591072906543E-3</v>
      </c>
      <c r="G10" s="5">
        <f t="shared" si="6"/>
        <v>3.90625E-3</v>
      </c>
      <c r="H10" s="1" t="str">
        <f>IF(OR(ABS(F10)&lt;CONFIG!$B$5,G10&lt;CONFIG!$B$5),"✓","→")</f>
        <v>→</v>
      </c>
    </row>
    <row r="11" spans="1:8" x14ac:dyDescent="0.3">
      <c r="A11" s="8">
        <f t="shared" ref="A11:A23" si="7">A10+1</f>
        <v>9</v>
      </c>
      <c r="B11" s="5">
        <f t="shared" si="1"/>
        <v>5.703125</v>
      </c>
      <c r="C11" s="5">
        <f t="shared" si="2"/>
        <v>5.70703125</v>
      </c>
      <c r="D11" s="5">
        <f t="shared" si="3"/>
        <v>5.705078125</v>
      </c>
      <c r="E11" s="5">
        <f t="shared" si="4"/>
        <v>6.3808584027273962E-3</v>
      </c>
      <c r="F11" s="5">
        <f t="shared" si="5"/>
        <v>2.5965574081250331E-3</v>
      </c>
      <c r="G11" s="5">
        <f t="shared" si="6"/>
        <v>1.953125E-3</v>
      </c>
      <c r="H11" s="1" t="str">
        <f>IF(OR(ABS(F11)&lt;CONFIG!$B$5,G11&lt;CONFIG!$B$5),"✓","→")</f>
        <v>→</v>
      </c>
    </row>
    <row r="12" spans="1:8" x14ac:dyDescent="0.3">
      <c r="A12" s="8">
        <f t="shared" si="7"/>
        <v>10</v>
      </c>
      <c r="B12" s="5">
        <f t="shared" si="1"/>
        <v>5.705078125</v>
      </c>
      <c r="C12" s="5">
        <f t="shared" si="2"/>
        <v>5.70703125</v>
      </c>
      <c r="D12" s="5">
        <f t="shared" si="3"/>
        <v>5.7060546875</v>
      </c>
      <c r="E12" s="5">
        <f t="shared" si="4"/>
        <v>2.5965574081250331E-3</v>
      </c>
      <c r="F12" s="5">
        <f t="shared" si="5"/>
        <v>7.0410092313410999E-4</v>
      </c>
      <c r="G12" s="5">
        <f t="shared" si="6"/>
        <v>9.765625E-4</v>
      </c>
      <c r="H12" s="1" t="str">
        <f>IF(OR(ABS(F12)&lt;CONFIG!$B$5,G12&lt;CONFIG!$B$5),"✓","→")</f>
        <v>→</v>
      </c>
    </row>
    <row r="13" spans="1:8" x14ac:dyDescent="0.3">
      <c r="A13" s="8">
        <f t="shared" si="7"/>
        <v>11</v>
      </c>
      <c r="B13" s="5">
        <f t="shared" si="1"/>
        <v>5.7060546875</v>
      </c>
      <c r="C13" s="5">
        <f t="shared" si="2"/>
        <v>5.70703125</v>
      </c>
      <c r="D13" s="5">
        <f t="shared" si="3"/>
        <v>5.70654296875</v>
      </c>
      <c r="E13" s="5">
        <f t="shared" si="4"/>
        <v>7.0410092313410999E-4</v>
      </c>
      <c r="F13" s="5">
        <f t="shared" si="5"/>
        <v>-2.4220366982463659E-4</v>
      </c>
      <c r="G13" s="5">
        <f t="shared" si="6"/>
        <v>4.8828125E-4</v>
      </c>
      <c r="H13" s="1" t="str">
        <f>IF(OR(ABS(F13)&lt;CONFIG!$B$5,G13&lt;CONFIG!$B$5),"✓","→")</f>
        <v>→</v>
      </c>
    </row>
    <row r="14" spans="1:8" x14ac:dyDescent="0.3">
      <c r="A14" s="8">
        <f t="shared" si="7"/>
        <v>12</v>
      </c>
      <c r="B14" s="5">
        <f t="shared" si="1"/>
        <v>5.7060546875</v>
      </c>
      <c r="C14" s="5">
        <f t="shared" si="2"/>
        <v>5.70654296875</v>
      </c>
      <c r="D14" s="5">
        <f t="shared" si="3"/>
        <v>5.706298828125</v>
      </c>
      <c r="E14" s="5">
        <f t="shared" si="4"/>
        <v>7.0410092313410999E-4</v>
      </c>
      <c r="F14" s="5">
        <f t="shared" si="5"/>
        <v>2.3095498483405308E-4</v>
      </c>
      <c r="G14" s="5">
        <f t="shared" si="6"/>
        <v>2.44140625E-4</v>
      </c>
      <c r="H14" s="1" t="str">
        <f>IF(OR(ABS(F14)&lt;CONFIG!$B$5,G14&lt;CONFIG!$B$5),"✓","→")</f>
        <v>→</v>
      </c>
    </row>
    <row r="15" spans="1:8" x14ac:dyDescent="0.3">
      <c r="A15" s="8">
        <f t="shared" si="7"/>
        <v>13</v>
      </c>
      <c r="B15" s="5">
        <f t="shared" si="1"/>
        <v>5.706298828125</v>
      </c>
      <c r="C15" s="5">
        <f t="shared" si="2"/>
        <v>5.70654296875</v>
      </c>
      <c r="D15" s="5">
        <f t="shared" si="3"/>
        <v>5.7064208984375</v>
      </c>
      <c r="E15" s="5">
        <f t="shared" si="4"/>
        <v>2.3095498483405308E-4</v>
      </c>
      <c r="F15" s="5">
        <f t="shared" si="5"/>
        <v>-5.622753277645387E-6</v>
      </c>
      <c r="G15" s="5">
        <f t="shared" si="6"/>
        <v>1.220703125E-4</v>
      </c>
      <c r="H15" s="1" t="str">
        <f>IF(OR(ABS(F15)&lt;CONFIG!$B$5,G15&lt;CONFIG!$B$5),"✓","→")</f>
        <v>→</v>
      </c>
    </row>
    <row r="16" spans="1:8" x14ac:dyDescent="0.3">
      <c r="A16" s="8">
        <f t="shared" si="7"/>
        <v>14</v>
      </c>
      <c r="B16" s="5">
        <f t="shared" si="1"/>
        <v>5.706298828125</v>
      </c>
      <c r="C16" s="5">
        <f t="shared" si="2"/>
        <v>5.7064208984375</v>
      </c>
      <c r="D16" s="5">
        <f t="shared" si="3"/>
        <v>5.70635986328125</v>
      </c>
      <c r="E16" s="5">
        <f t="shared" si="4"/>
        <v>2.3095498483405308E-4</v>
      </c>
      <c r="F16" s="5">
        <f t="shared" si="5"/>
        <v>1.1266651312347165E-4</v>
      </c>
      <c r="G16" s="5">
        <f t="shared" si="6"/>
        <v>6.103515625E-5</v>
      </c>
      <c r="H16" s="1" t="str">
        <f>IF(OR(ABS(F16)&lt;CONFIG!$B$5,G16&lt;CONFIG!$B$5),"✓","→")</f>
        <v>→</v>
      </c>
    </row>
    <row r="17" spans="1:8" x14ac:dyDescent="0.3">
      <c r="A17" s="8">
        <f t="shared" si="7"/>
        <v>15</v>
      </c>
      <c r="B17" s="5">
        <f t="shared" si="1"/>
        <v>5.70635986328125</v>
      </c>
      <c r="C17" s="5">
        <f t="shared" si="2"/>
        <v>5.7064208984375</v>
      </c>
      <c r="D17" s="5">
        <f t="shared" si="3"/>
        <v>5.706390380859375</v>
      </c>
      <c r="E17" s="5">
        <f t="shared" si="4"/>
        <v>1.1266651312347165E-4</v>
      </c>
      <c r="F17" s="5">
        <f t="shared" si="5"/>
        <v>5.3521979254123053E-5</v>
      </c>
      <c r="G17" s="5">
        <f t="shared" si="6"/>
        <v>3.0517578125E-5</v>
      </c>
      <c r="H17" s="1" t="str">
        <f>IF(OR(ABS(F17)&lt;CONFIG!$B$5,G17&lt;CONFIG!$B$5),"✓","→")</f>
        <v>→</v>
      </c>
    </row>
    <row r="18" spans="1:8" x14ac:dyDescent="0.3">
      <c r="A18" s="8">
        <f t="shared" si="7"/>
        <v>16</v>
      </c>
      <c r="B18" s="5">
        <f t="shared" si="1"/>
        <v>5.706390380859375</v>
      </c>
      <c r="C18" s="5">
        <f t="shared" si="2"/>
        <v>5.7064208984375</v>
      </c>
      <c r="D18" s="5">
        <f t="shared" si="3"/>
        <v>5.7064056396484375</v>
      </c>
      <c r="E18" s="5">
        <f t="shared" si="4"/>
        <v>5.3521979254123053E-5</v>
      </c>
      <c r="F18" s="5">
        <f t="shared" si="5"/>
        <v>2.3949637820486203E-5</v>
      </c>
      <c r="G18" s="5">
        <f t="shared" si="6"/>
        <v>1.52587890625E-5</v>
      </c>
      <c r="H18" s="1" t="str">
        <f>IF(OR(ABS(F18)&lt;CONFIG!$B$5,G18&lt;CONFIG!$B$5),"✓","→")</f>
        <v>→</v>
      </c>
    </row>
    <row r="19" spans="1:8" x14ac:dyDescent="0.3">
      <c r="A19" s="8">
        <f t="shared" si="7"/>
        <v>17</v>
      </c>
      <c r="B19" s="5">
        <f t="shared" si="1"/>
        <v>5.7064056396484375</v>
      </c>
      <c r="C19" s="5">
        <f t="shared" si="2"/>
        <v>5.7064208984375</v>
      </c>
      <c r="D19" s="5">
        <f t="shared" si="3"/>
        <v>5.7064132690429688</v>
      </c>
      <c r="E19" s="5">
        <f t="shared" si="4"/>
        <v>2.3949637820486203E-5</v>
      </c>
      <c r="F19" s="5">
        <f t="shared" si="5"/>
        <v>9.1634484795655169E-6</v>
      </c>
      <c r="G19" s="5">
        <f t="shared" si="6"/>
        <v>7.62939453125E-6</v>
      </c>
      <c r="H19" s="1" t="str">
        <f>IF(OR(ABS(F19)&lt;CONFIG!$B$5,G19&lt;CONFIG!$B$5),"✓","→")</f>
        <v>→</v>
      </c>
    </row>
    <row r="20" spans="1:8" x14ac:dyDescent="0.3">
      <c r="A20" s="8">
        <f t="shared" si="7"/>
        <v>18</v>
      </c>
      <c r="B20" s="5">
        <f t="shared" si="1"/>
        <v>5.7064132690429688</v>
      </c>
      <c r="C20" s="5">
        <f t="shared" si="2"/>
        <v>5.7064208984375</v>
      </c>
      <c r="D20" s="5">
        <f t="shared" si="3"/>
        <v>5.7064170837402344</v>
      </c>
      <c r="E20" s="5">
        <f t="shared" si="4"/>
        <v>9.1634484795655169E-6</v>
      </c>
      <c r="F20" s="5">
        <f t="shared" si="5"/>
        <v>1.7703491530518534E-6</v>
      </c>
      <c r="G20" s="5">
        <f t="shared" si="6"/>
        <v>3.814697265625E-6</v>
      </c>
      <c r="H20" s="1" t="str">
        <f>IF(OR(ABS(F20)&lt;CONFIG!$B$5,G20&lt;CONFIG!$B$5),"✓","→")</f>
        <v>→</v>
      </c>
    </row>
    <row r="21" spans="1:8" x14ac:dyDescent="0.3">
      <c r="A21" s="8">
        <f t="shared" si="7"/>
        <v>19</v>
      </c>
      <c r="B21" s="5">
        <f t="shared" si="1"/>
        <v>5.7064170837402344</v>
      </c>
      <c r="C21" s="5">
        <f t="shared" si="2"/>
        <v>5.7064208984375</v>
      </c>
      <c r="D21" s="5">
        <f t="shared" si="3"/>
        <v>5.7064189910888672</v>
      </c>
      <c r="E21" s="5">
        <f t="shared" si="4"/>
        <v>1.7703491530518534E-6</v>
      </c>
      <c r="F21" s="5">
        <f t="shared" si="5"/>
        <v>-1.9262016741627974E-6</v>
      </c>
      <c r="G21" s="5">
        <f t="shared" si="6"/>
        <v>1.9073486328125E-6</v>
      </c>
      <c r="H21" s="1" t="str">
        <f>IF(OR(ABS(F21)&lt;CONFIG!$B$5,G21&lt;CONFIG!$B$5),"✓","→")</f>
        <v>→</v>
      </c>
    </row>
    <row r="22" spans="1:8" x14ac:dyDescent="0.3">
      <c r="A22" s="8">
        <f t="shared" si="7"/>
        <v>20</v>
      </c>
      <c r="B22" s="5">
        <f t="shared" si="1"/>
        <v>5.7064170837402344</v>
      </c>
      <c r="C22" s="5">
        <f t="shared" si="2"/>
        <v>5.7064189910888672</v>
      </c>
      <c r="D22" s="5">
        <f t="shared" si="3"/>
        <v>5.7064180374145508</v>
      </c>
      <c r="E22" s="5">
        <f t="shared" si="4"/>
        <v>1.7703491530518534E-6</v>
      </c>
      <c r="F22" s="5">
        <f t="shared" si="5"/>
        <v>-7.7926163744024279E-8</v>
      </c>
      <c r="G22" s="5">
        <f t="shared" si="6"/>
        <v>9.5367431640625E-7</v>
      </c>
      <c r="H22" s="1" t="str">
        <f>IF(OR(ABS(F22)&lt;CONFIG!$B$5,G22&lt;CONFIG!$B$5),"✓","→")</f>
        <v>✓</v>
      </c>
    </row>
    <row r="23" spans="1:8" x14ac:dyDescent="0.3">
      <c r="A23" s="8">
        <f t="shared" si="7"/>
        <v>21</v>
      </c>
      <c r="B23" s="5">
        <f t="shared" si="1"/>
        <v>5.7064170837402344</v>
      </c>
      <c r="C23" s="5">
        <f t="shared" si="2"/>
        <v>5.7064180374145508</v>
      </c>
      <c r="D23" s="5">
        <f t="shared" si="3"/>
        <v>5.7064175605773926</v>
      </c>
      <c r="E23" s="5">
        <f t="shared" si="4"/>
        <v>1.7703491530518534E-6</v>
      </c>
      <c r="F23" s="5">
        <f t="shared" si="5"/>
        <v>8.4621151907882108E-7</v>
      </c>
      <c r="G23" s="5">
        <f t="shared" si="6"/>
        <v>4.76837158203125E-7</v>
      </c>
      <c r="H23" s="1" t="str">
        <f>IF(OR(ABS(F23)&lt;CONFIG!$B$5,G23&lt;CONFIG!$B$5),"✓","→")</f>
        <v>✓</v>
      </c>
    </row>
    <row r="24" spans="1:8" x14ac:dyDescent="0.3">
      <c r="A24" s="6"/>
      <c r="B24" s="5"/>
      <c r="C24" s="5"/>
      <c r="D24" s="5"/>
      <c r="E24" s="5"/>
      <c r="F24" s="5"/>
      <c r="G24" s="5"/>
      <c r="H24" s="1"/>
    </row>
    <row r="25" spans="1:8" x14ac:dyDescent="0.3">
      <c r="A25" s="6"/>
      <c r="B25" s="5"/>
      <c r="C25" s="5"/>
      <c r="D25" s="5"/>
      <c r="E25" s="5"/>
      <c r="F25" s="5"/>
      <c r="G25" s="5"/>
      <c r="H25" s="1"/>
    </row>
    <row r="26" spans="1:8" x14ac:dyDescent="0.3">
      <c r="A26" s="6"/>
      <c r="B26" s="5"/>
      <c r="C26" s="5"/>
      <c r="D26" s="5"/>
      <c r="E26" s="5"/>
      <c r="F26" s="5"/>
      <c r="G26" s="5"/>
      <c r="H26" s="1"/>
    </row>
    <row r="27" spans="1:8" x14ac:dyDescent="0.3">
      <c r="A27" s="6"/>
      <c r="B27" s="5"/>
      <c r="C27" s="5"/>
      <c r="D27" s="5"/>
      <c r="E27" s="5"/>
      <c r="F27" s="5"/>
      <c r="G27" s="5"/>
      <c r="H27" s="1"/>
    </row>
    <row r="28" spans="1:8" x14ac:dyDescent="0.3">
      <c r="A28" s="6"/>
      <c r="B28" s="5"/>
      <c r="C28" s="5"/>
      <c r="D28" s="5"/>
      <c r="E28" s="5"/>
      <c r="F28" s="5"/>
      <c r="G28" s="5"/>
      <c r="H28" s="1"/>
    </row>
    <row r="29" spans="1:8" x14ac:dyDescent="0.3">
      <c r="A29" s="6"/>
      <c r="B29" s="5"/>
      <c r="C29" s="5"/>
      <c r="D29" s="5"/>
      <c r="E29" s="5"/>
      <c r="F29" s="5"/>
      <c r="G29" s="5"/>
      <c r="H29" s="1"/>
    </row>
    <row r="30" spans="1:8" x14ac:dyDescent="0.3">
      <c r="A30" s="6"/>
      <c r="B30" s="5"/>
      <c r="C30" s="5"/>
      <c r="D30" s="5"/>
      <c r="E30" s="5"/>
      <c r="F30" s="5"/>
      <c r="G30" s="5"/>
      <c r="H30" s="1"/>
    </row>
    <row r="31" spans="1:8" x14ac:dyDescent="0.3">
      <c r="A31" s="6"/>
      <c r="B31" s="5"/>
      <c r="C31" s="5"/>
      <c r="D31" s="5"/>
      <c r="E31" s="5"/>
      <c r="F31" s="5"/>
      <c r="G31" s="5"/>
      <c r="H31" s="1"/>
    </row>
    <row r="32" spans="1:8" x14ac:dyDescent="0.3">
      <c r="A32" s="6"/>
      <c r="B32" s="5"/>
      <c r="C32" s="5"/>
      <c r="D32" s="5"/>
      <c r="E32" s="5"/>
      <c r="F32" s="5"/>
      <c r="G32" s="5"/>
      <c r="H32" s="1"/>
    </row>
    <row r="33" spans="1:8" x14ac:dyDescent="0.3">
      <c r="A33" s="6"/>
      <c r="B33" s="5"/>
      <c r="C33" s="5"/>
      <c r="D33" s="5"/>
      <c r="E33" s="5"/>
      <c r="F33" s="5"/>
      <c r="G33" s="5"/>
      <c r="H33" s="1"/>
    </row>
    <row r="34" spans="1:8" x14ac:dyDescent="0.3">
      <c r="A34" s="6"/>
      <c r="B34" s="5"/>
      <c r="C34" s="5"/>
      <c r="D34" s="5"/>
      <c r="E34" s="5"/>
      <c r="F34" s="5"/>
      <c r="G34" s="5"/>
      <c r="H34" s="1"/>
    </row>
    <row r="35" spans="1:8" x14ac:dyDescent="0.3">
      <c r="A35" s="6"/>
      <c r="B35" s="5"/>
      <c r="C35" s="5"/>
      <c r="D35" s="5"/>
      <c r="E35" s="5"/>
      <c r="F35" s="5"/>
      <c r="G35" s="5"/>
      <c r="H35" s="1"/>
    </row>
    <row r="36" spans="1:8" x14ac:dyDescent="0.3">
      <c r="A36" s="6"/>
      <c r="B36" s="5"/>
      <c r="C36" s="5"/>
      <c r="D36" s="5"/>
      <c r="E36" s="5"/>
      <c r="F36" s="5"/>
      <c r="G36" s="5"/>
      <c r="H36" s="1"/>
    </row>
    <row r="37" spans="1:8" x14ac:dyDescent="0.3">
      <c r="A37" s="6"/>
      <c r="B37" s="5"/>
      <c r="C37" s="5"/>
      <c r="D37" s="5"/>
      <c r="E37" s="5"/>
      <c r="F37" s="5"/>
      <c r="G37" s="5"/>
      <c r="H37" s="1"/>
    </row>
    <row r="38" spans="1:8" x14ac:dyDescent="0.3">
      <c r="A38" s="6"/>
      <c r="B38" s="5"/>
      <c r="C38" s="5"/>
      <c r="D38" s="5"/>
      <c r="E38" s="5"/>
      <c r="F38" s="5"/>
      <c r="G38" s="5"/>
      <c r="H38" s="1"/>
    </row>
    <row r="39" spans="1:8" x14ac:dyDescent="0.3">
      <c r="A39" s="6"/>
      <c r="B39" s="5"/>
      <c r="C39" s="5"/>
      <c r="D39" s="5"/>
      <c r="E39" s="5"/>
      <c r="F39" s="5"/>
      <c r="G39" s="5"/>
      <c r="H39" s="1"/>
    </row>
    <row r="40" spans="1:8" x14ac:dyDescent="0.3">
      <c r="A40" s="6"/>
      <c r="B40" s="5"/>
      <c r="C40" s="5"/>
      <c r="D40" s="5"/>
      <c r="E40" s="5"/>
      <c r="F40" s="5"/>
      <c r="G40" s="5"/>
      <c r="H40" s="1"/>
    </row>
    <row r="41" spans="1:8" x14ac:dyDescent="0.3">
      <c r="A41" s="6"/>
      <c r="B41" s="5"/>
      <c r="C41" s="5"/>
      <c r="D41" s="5"/>
      <c r="E41" s="5"/>
      <c r="F41" s="5"/>
      <c r="G41" s="5"/>
      <c r="H41" s="1"/>
    </row>
    <row r="42" spans="1:8" x14ac:dyDescent="0.3">
      <c r="A42" s="6"/>
      <c r="B42" s="5"/>
      <c r="C42" s="5"/>
      <c r="D42" s="5"/>
      <c r="E42" s="5"/>
      <c r="F42" s="5"/>
      <c r="G42" s="5"/>
      <c r="H42" s="1"/>
    </row>
    <row r="43" spans="1:8" x14ac:dyDescent="0.3">
      <c r="A43" s="6"/>
      <c r="B43" s="5"/>
      <c r="C43" s="5"/>
      <c r="D43" s="5"/>
      <c r="E43" s="5"/>
      <c r="F43" s="5"/>
      <c r="G43" s="5"/>
      <c r="H43" s="1"/>
    </row>
    <row r="44" spans="1:8" x14ac:dyDescent="0.3">
      <c r="A44" s="6"/>
      <c r="B44" s="5"/>
      <c r="C44" s="5"/>
      <c r="D44" s="5"/>
      <c r="E44" s="5"/>
      <c r="F44" s="5"/>
      <c r="G44" s="5"/>
      <c r="H44" s="1"/>
    </row>
    <row r="45" spans="1:8" x14ac:dyDescent="0.3">
      <c r="A45" s="6"/>
      <c r="B45" s="5"/>
      <c r="C45" s="5"/>
      <c r="D45" s="5"/>
      <c r="E45" s="5"/>
      <c r="F45" s="5"/>
      <c r="G45" s="5"/>
      <c r="H45" s="1"/>
    </row>
    <row r="46" spans="1:8" x14ac:dyDescent="0.3">
      <c r="A46" s="6"/>
      <c r="B46" s="5"/>
      <c r="C46" s="5"/>
      <c r="D46" s="5"/>
      <c r="E46" s="5"/>
      <c r="F46" s="5"/>
      <c r="G46" s="5"/>
      <c r="H46" s="1"/>
    </row>
    <row r="47" spans="1:8" x14ac:dyDescent="0.3">
      <c r="A47" s="6"/>
      <c r="B47" s="5"/>
      <c r="C47" s="5"/>
      <c r="D47" s="5"/>
      <c r="E47" s="5"/>
      <c r="F47" s="5"/>
      <c r="G47" s="5"/>
      <c r="H47" s="1"/>
    </row>
    <row r="48" spans="1:8" x14ac:dyDescent="0.3">
      <c r="A48" s="6"/>
      <c r="B48" s="5"/>
      <c r="C48" s="5"/>
      <c r="D48" s="5"/>
      <c r="E48" s="5"/>
      <c r="F48" s="5"/>
      <c r="G48" s="5"/>
      <c r="H48" s="1"/>
    </row>
    <row r="49" spans="1:8" x14ac:dyDescent="0.3">
      <c r="A49" s="6"/>
      <c r="B49" s="5"/>
      <c r="C49" s="5"/>
      <c r="D49" s="5"/>
      <c r="E49" s="5"/>
      <c r="F49" s="5"/>
      <c r="G49" s="5"/>
      <c r="H49" s="1"/>
    </row>
    <row r="50" spans="1:8" x14ac:dyDescent="0.3">
      <c r="A50" s="6"/>
      <c r="B50" s="5"/>
      <c r="C50" s="5"/>
      <c r="D50" s="5"/>
      <c r="E50" s="5"/>
      <c r="F50" s="5"/>
      <c r="G50" s="5"/>
      <c r="H50" s="1"/>
    </row>
    <row r="51" spans="1:8" x14ac:dyDescent="0.3">
      <c r="A51" s="6"/>
      <c r="B51" s="5"/>
      <c r="C51" s="5"/>
      <c r="D51" s="5"/>
      <c r="E51" s="5"/>
      <c r="F51" s="5"/>
      <c r="G51" s="5"/>
      <c r="H51" s="1"/>
    </row>
    <row r="52" spans="1:8" x14ac:dyDescent="0.3">
      <c r="A52" s="6"/>
      <c r="B52" s="5"/>
      <c r="C52" s="5"/>
      <c r="D52" s="5"/>
      <c r="E52" s="5"/>
      <c r="F52" s="5"/>
      <c r="G52" s="5"/>
      <c r="H52" s="1"/>
    </row>
    <row r="53" spans="1:8" x14ac:dyDescent="0.3">
      <c r="A53" s="6"/>
      <c r="B53" s="5"/>
      <c r="C53" s="5"/>
      <c r="D53" s="5"/>
      <c r="E53" s="5"/>
      <c r="F53" s="5"/>
      <c r="G53" s="5"/>
      <c r="H53" s="1"/>
    </row>
    <row r="54" spans="1:8" x14ac:dyDescent="0.3">
      <c r="A54" s="6"/>
      <c r="B54" s="5"/>
      <c r="C54" s="5"/>
      <c r="D54" s="5"/>
      <c r="E54" s="5"/>
      <c r="F54" s="5"/>
      <c r="G54" s="5"/>
      <c r="H54" s="1"/>
    </row>
    <row r="55" spans="1:8" x14ac:dyDescent="0.3">
      <c r="A55" s="6"/>
      <c r="B55" s="5"/>
      <c r="C55" s="5"/>
      <c r="D55" s="5"/>
      <c r="E55" s="5"/>
      <c r="F55" s="5"/>
      <c r="G55" s="5"/>
      <c r="H55" s="1"/>
    </row>
    <row r="56" spans="1:8" x14ac:dyDescent="0.3">
      <c r="A56" s="6"/>
      <c r="B56" s="5"/>
      <c r="C56" s="5"/>
      <c r="D56" s="5"/>
      <c r="E56" s="5"/>
      <c r="F56" s="5"/>
      <c r="G56" s="5"/>
      <c r="H56" s="1"/>
    </row>
    <row r="57" spans="1:8" x14ac:dyDescent="0.3">
      <c r="A57" s="6"/>
      <c r="B57" s="5"/>
      <c r="C57" s="5"/>
      <c r="D57" s="5"/>
      <c r="E57" s="5"/>
      <c r="F57" s="5"/>
      <c r="G57" s="5"/>
      <c r="H57" s="1"/>
    </row>
    <row r="58" spans="1:8" x14ac:dyDescent="0.3">
      <c r="A58" s="6"/>
      <c r="B58" s="5"/>
      <c r="C58" s="5"/>
      <c r="D58" s="5"/>
      <c r="E58" s="5"/>
      <c r="F58" s="5"/>
      <c r="G58" s="5"/>
      <c r="H58" s="1"/>
    </row>
    <row r="59" spans="1:8" x14ac:dyDescent="0.3">
      <c r="A59" s="6"/>
      <c r="B59" s="5"/>
      <c r="C59" s="5"/>
      <c r="D59" s="5"/>
      <c r="E59" s="5"/>
      <c r="F59" s="5"/>
      <c r="G59" s="5"/>
      <c r="H59" s="1"/>
    </row>
    <row r="60" spans="1:8" x14ac:dyDescent="0.3">
      <c r="A60" s="6"/>
      <c r="B60" s="5"/>
      <c r="C60" s="5"/>
      <c r="D60" s="5"/>
      <c r="E60" s="5"/>
      <c r="F60" s="5"/>
      <c r="G60" s="5"/>
      <c r="H60" s="1"/>
    </row>
    <row r="61" spans="1:8" x14ac:dyDescent="0.3">
      <c r="A61" s="6"/>
      <c r="B61" s="5"/>
      <c r="C61" s="5"/>
      <c r="D61" s="5"/>
      <c r="E61" s="5"/>
      <c r="F61" s="5"/>
      <c r="G61" s="5"/>
      <c r="H61" s="1"/>
    </row>
    <row r="62" spans="1:8" x14ac:dyDescent="0.3">
      <c r="A62" s="6"/>
      <c r="B62" s="5"/>
      <c r="C62" s="5"/>
      <c r="D62" s="5"/>
      <c r="E62" s="5"/>
      <c r="F62" s="5"/>
      <c r="G62" s="5"/>
      <c r="H62" s="1"/>
    </row>
    <row r="63" spans="1:8" x14ac:dyDescent="0.3">
      <c r="A63" s="6"/>
      <c r="B63" s="5"/>
      <c r="C63" s="5"/>
      <c r="D63" s="5"/>
      <c r="E63" s="5"/>
      <c r="F63" s="5"/>
      <c r="G63" s="5"/>
      <c r="H63" s="1"/>
    </row>
    <row r="64" spans="1:8" x14ac:dyDescent="0.3">
      <c r="A64" s="6"/>
      <c r="B64" s="5"/>
      <c r="C64" s="5"/>
      <c r="D64" s="5"/>
      <c r="E64" s="5"/>
      <c r="F64" s="5"/>
      <c r="G64" s="5"/>
      <c r="H64" s="1"/>
    </row>
    <row r="65" spans="1:8" x14ac:dyDescent="0.3">
      <c r="A65" s="6"/>
      <c r="B65" s="5"/>
      <c r="C65" s="5"/>
      <c r="D65" s="5"/>
      <c r="E65" s="5"/>
      <c r="F65" s="5"/>
      <c r="G65" s="5"/>
      <c r="H65" s="1"/>
    </row>
    <row r="66" spans="1:8" x14ac:dyDescent="0.3">
      <c r="A66" s="6"/>
      <c r="B66" s="5"/>
      <c r="C66" s="5"/>
      <c r="D66" s="5"/>
      <c r="E66" s="5"/>
      <c r="F66" s="5"/>
      <c r="G66" s="5"/>
      <c r="H66" s="1"/>
    </row>
    <row r="67" spans="1:8" x14ac:dyDescent="0.3">
      <c r="A67" s="6"/>
      <c r="B67" s="5"/>
      <c r="C67" s="5"/>
      <c r="D67" s="5"/>
      <c r="E67" s="5"/>
      <c r="F67" s="5"/>
      <c r="G67" s="5"/>
      <c r="H67" s="1"/>
    </row>
    <row r="68" spans="1:8" x14ac:dyDescent="0.3">
      <c r="A68" s="6"/>
      <c r="B68" s="5"/>
      <c r="C68" s="5"/>
      <c r="D68" s="5"/>
      <c r="E68" s="5"/>
      <c r="F68" s="5"/>
      <c r="G68" s="5"/>
      <c r="H68" s="1"/>
    </row>
    <row r="69" spans="1:8" x14ac:dyDescent="0.3">
      <c r="A69" s="6"/>
      <c r="B69" s="5"/>
      <c r="C69" s="5"/>
      <c r="D69" s="5"/>
      <c r="E69" s="5"/>
      <c r="F69" s="5"/>
      <c r="G69" s="5"/>
      <c r="H69" s="1"/>
    </row>
    <row r="70" spans="1:8" x14ac:dyDescent="0.3">
      <c r="A70" s="6"/>
      <c r="B70" s="5"/>
      <c r="C70" s="5"/>
      <c r="D70" s="5"/>
      <c r="E70" s="5"/>
      <c r="F70" s="5"/>
      <c r="G70" s="5"/>
      <c r="H70" s="1"/>
    </row>
    <row r="71" spans="1:8" x14ac:dyDescent="0.3">
      <c r="A71" s="6"/>
      <c r="B71" s="5"/>
      <c r="C71" s="5"/>
      <c r="D71" s="5"/>
      <c r="E71" s="5"/>
      <c r="F71" s="5"/>
      <c r="G71" s="5"/>
      <c r="H71" s="1"/>
    </row>
    <row r="72" spans="1:8" x14ac:dyDescent="0.3">
      <c r="A72" s="6"/>
      <c r="B72" s="5"/>
      <c r="C72" s="5"/>
      <c r="D72" s="5"/>
      <c r="E72" s="5"/>
      <c r="F72" s="5"/>
      <c r="G72" s="5"/>
      <c r="H72" s="1"/>
    </row>
    <row r="73" spans="1:8" x14ac:dyDescent="0.3">
      <c r="A73" s="6"/>
      <c r="B73" s="5"/>
      <c r="C73" s="5"/>
      <c r="D73" s="5"/>
      <c r="E73" s="5"/>
      <c r="F73" s="5"/>
      <c r="G73" s="5"/>
      <c r="H73" s="1"/>
    </row>
    <row r="74" spans="1:8" x14ac:dyDescent="0.3">
      <c r="A74" s="6"/>
      <c r="B74" s="5"/>
      <c r="C74" s="5"/>
      <c r="D74" s="5"/>
      <c r="E74" s="5"/>
      <c r="F74" s="5"/>
      <c r="G74" s="5"/>
      <c r="H74" s="1"/>
    </row>
    <row r="75" spans="1:8" x14ac:dyDescent="0.3">
      <c r="A75" s="6"/>
      <c r="B75" s="5"/>
      <c r="C75" s="5"/>
      <c r="D75" s="5"/>
      <c r="E75" s="5"/>
      <c r="F75" s="5"/>
      <c r="G75" s="5"/>
      <c r="H75" s="1"/>
    </row>
    <row r="76" spans="1:8" x14ac:dyDescent="0.3">
      <c r="A76" s="6"/>
      <c r="B76" s="5"/>
      <c r="C76" s="5"/>
      <c r="D76" s="5"/>
      <c r="E76" s="5"/>
      <c r="F76" s="5"/>
      <c r="G76" s="5"/>
      <c r="H76" s="1"/>
    </row>
    <row r="77" spans="1:8" x14ac:dyDescent="0.3">
      <c r="A77" s="6"/>
      <c r="B77" s="5"/>
      <c r="C77" s="5"/>
      <c r="D77" s="5"/>
      <c r="E77" s="5"/>
      <c r="F77" s="5"/>
      <c r="G77" s="5"/>
      <c r="H77" s="1"/>
    </row>
    <row r="78" spans="1:8" x14ac:dyDescent="0.3">
      <c r="A78" s="6"/>
      <c r="B78" s="5"/>
      <c r="C78" s="5"/>
      <c r="D78" s="5"/>
      <c r="E78" s="5"/>
      <c r="F78" s="5"/>
      <c r="G78" s="5"/>
      <c r="H78" s="1"/>
    </row>
    <row r="79" spans="1:8" x14ac:dyDescent="0.3">
      <c r="A79" s="6"/>
      <c r="B79" s="5"/>
      <c r="C79" s="5"/>
      <c r="D79" s="5"/>
      <c r="E79" s="5"/>
      <c r="F79" s="5"/>
      <c r="G79" s="5"/>
      <c r="H79" s="1"/>
    </row>
    <row r="80" spans="1:8" x14ac:dyDescent="0.3">
      <c r="A80" s="6"/>
      <c r="B80" s="5"/>
      <c r="C80" s="5"/>
      <c r="D80" s="5"/>
      <c r="E80" s="5"/>
      <c r="F80" s="5"/>
      <c r="G80" s="5"/>
      <c r="H80" s="1"/>
    </row>
    <row r="81" spans="1:8" x14ac:dyDescent="0.3">
      <c r="A81" s="6"/>
      <c r="B81" s="5"/>
      <c r="C81" s="5"/>
      <c r="D81" s="5"/>
      <c r="E81" s="5"/>
      <c r="F81" s="5"/>
      <c r="G81" s="5"/>
      <c r="H81" s="1"/>
    </row>
    <row r="82" spans="1:8" x14ac:dyDescent="0.3">
      <c r="A82" s="6"/>
      <c r="B82" s="5"/>
      <c r="C82" s="5"/>
      <c r="D82" s="5"/>
      <c r="E82" s="5"/>
      <c r="F82" s="5"/>
      <c r="G82" s="5"/>
      <c r="H82" s="1"/>
    </row>
    <row r="83" spans="1:8" x14ac:dyDescent="0.3">
      <c r="A83" s="6"/>
      <c r="B83" s="5"/>
      <c r="C83" s="5"/>
      <c r="D83" s="5"/>
      <c r="E83" s="5"/>
      <c r="F83" s="5"/>
      <c r="G83" s="5"/>
      <c r="H83" s="1"/>
    </row>
    <row r="84" spans="1:8" x14ac:dyDescent="0.3">
      <c r="A84" s="6"/>
      <c r="B84" s="5"/>
      <c r="C84" s="5"/>
      <c r="D84" s="5"/>
      <c r="E84" s="5"/>
      <c r="F84" s="5"/>
      <c r="G84" s="5"/>
      <c r="H84" s="1"/>
    </row>
    <row r="85" spans="1:8" x14ac:dyDescent="0.3">
      <c r="A85" s="6"/>
      <c r="B85" s="5"/>
      <c r="C85" s="5"/>
      <c r="D85" s="5"/>
      <c r="E85" s="5"/>
      <c r="F85" s="5"/>
      <c r="G85" s="5"/>
      <c r="H85" s="1"/>
    </row>
    <row r="86" spans="1:8" x14ac:dyDescent="0.3">
      <c r="A86" s="6"/>
      <c r="B86" s="5"/>
      <c r="C86" s="5"/>
      <c r="D86" s="5"/>
      <c r="E86" s="5"/>
      <c r="F86" s="5"/>
      <c r="G86" s="5"/>
      <c r="H86" s="1"/>
    </row>
    <row r="87" spans="1:8" x14ac:dyDescent="0.3">
      <c r="A87" s="6"/>
      <c r="B87" s="5"/>
      <c r="C87" s="5"/>
      <c r="D87" s="5"/>
      <c r="E87" s="5"/>
      <c r="F87" s="5"/>
      <c r="G87" s="5"/>
      <c r="H87" s="1"/>
    </row>
    <row r="88" spans="1:8" x14ac:dyDescent="0.3">
      <c r="A88" s="6"/>
      <c r="B88" s="5"/>
      <c r="C88" s="5"/>
      <c r="D88" s="5"/>
      <c r="E88" s="5"/>
      <c r="F88" s="5"/>
      <c r="G88" s="5"/>
      <c r="H88" s="1"/>
    </row>
    <row r="89" spans="1:8" x14ac:dyDescent="0.3">
      <c r="A89" s="6"/>
      <c r="B89" s="5"/>
      <c r="C89" s="5"/>
      <c r="D89" s="5"/>
      <c r="E89" s="5"/>
      <c r="F89" s="5"/>
      <c r="G89" s="5"/>
      <c r="H89" s="1"/>
    </row>
    <row r="90" spans="1:8" x14ac:dyDescent="0.3">
      <c r="A90" s="6"/>
      <c r="B90" s="5"/>
      <c r="C90" s="5"/>
      <c r="D90" s="5"/>
      <c r="E90" s="5"/>
      <c r="F90" s="5"/>
      <c r="G90" s="5"/>
      <c r="H90" s="1"/>
    </row>
    <row r="91" spans="1:8" x14ac:dyDescent="0.3">
      <c r="A91" s="6"/>
      <c r="B91" s="5"/>
      <c r="C91" s="5"/>
      <c r="D91" s="5"/>
      <c r="E91" s="5"/>
      <c r="F91" s="5"/>
      <c r="G91" s="5"/>
      <c r="H91" s="1"/>
    </row>
    <row r="92" spans="1:8" x14ac:dyDescent="0.3">
      <c r="A92" s="6"/>
      <c r="B92" s="5"/>
      <c r="C92" s="5"/>
      <c r="D92" s="5"/>
      <c r="E92" s="5"/>
      <c r="F92" s="5"/>
      <c r="G92" s="5"/>
      <c r="H92" s="1"/>
    </row>
    <row r="93" spans="1:8" x14ac:dyDescent="0.3">
      <c r="A93" s="6"/>
      <c r="B93" s="5"/>
      <c r="C93" s="5"/>
      <c r="D93" s="5"/>
      <c r="E93" s="5"/>
      <c r="F93" s="5"/>
      <c r="G93" s="5"/>
      <c r="H93" s="1"/>
    </row>
    <row r="94" spans="1:8" x14ac:dyDescent="0.3">
      <c r="A94" s="6"/>
      <c r="B94" s="5"/>
      <c r="C94" s="5"/>
      <c r="D94" s="5"/>
      <c r="E94" s="5"/>
      <c r="F94" s="5"/>
      <c r="G94" s="5"/>
      <c r="H94" s="1"/>
    </row>
    <row r="95" spans="1:8" x14ac:dyDescent="0.3">
      <c r="A95" s="6"/>
      <c r="B95" s="5"/>
      <c r="C95" s="5"/>
      <c r="D95" s="5"/>
      <c r="E95" s="5"/>
      <c r="F95" s="5"/>
      <c r="G95" s="5"/>
      <c r="H95" s="1"/>
    </row>
    <row r="96" spans="1:8" x14ac:dyDescent="0.3">
      <c r="A96" s="6"/>
      <c r="B96" s="5"/>
      <c r="C96" s="5"/>
      <c r="D96" s="5"/>
      <c r="E96" s="5"/>
      <c r="F96" s="5"/>
      <c r="G96" s="5"/>
      <c r="H96" s="1"/>
    </row>
    <row r="97" spans="1:8" x14ac:dyDescent="0.3">
      <c r="A97" s="6"/>
      <c r="B97" s="5"/>
      <c r="C97" s="5"/>
      <c r="D97" s="5"/>
      <c r="E97" s="5"/>
      <c r="F97" s="5"/>
      <c r="G97" s="5"/>
      <c r="H97" s="1"/>
    </row>
    <row r="98" spans="1:8" x14ac:dyDescent="0.3">
      <c r="A98" s="6"/>
      <c r="B98" s="5"/>
      <c r="C98" s="5"/>
      <c r="D98" s="5"/>
      <c r="E98" s="5"/>
      <c r="F98" s="5"/>
      <c r="G98" s="5"/>
      <c r="H98" s="1"/>
    </row>
    <row r="99" spans="1:8" x14ac:dyDescent="0.3">
      <c r="A99" s="6"/>
      <c r="B99" s="5"/>
      <c r="C99" s="5"/>
      <c r="D99" s="5"/>
      <c r="E99" s="5"/>
      <c r="F99" s="5"/>
      <c r="G99" s="5"/>
      <c r="H99" s="1"/>
    </row>
    <row r="100" spans="1:8" x14ac:dyDescent="0.3">
      <c r="A100" s="6"/>
      <c r="B100" s="5"/>
      <c r="C100" s="5"/>
      <c r="D100" s="5"/>
      <c r="E100" s="5"/>
      <c r="F100" s="5"/>
      <c r="G100" s="5"/>
      <c r="H100" s="1"/>
    </row>
    <row r="101" spans="1:8" x14ac:dyDescent="0.3">
      <c r="A101" s="6"/>
      <c r="B101" s="5"/>
      <c r="C101" s="5"/>
      <c r="D101" s="5"/>
      <c r="E101" s="5"/>
      <c r="F101" s="5"/>
      <c r="G101" s="5"/>
      <c r="H101" s="1"/>
    </row>
    <row r="102" spans="1:8" x14ac:dyDescent="0.3">
      <c r="A102" s="6"/>
      <c r="B102" s="5"/>
      <c r="C102" s="5"/>
      <c r="D102" s="5"/>
      <c r="E102" s="5"/>
      <c r="F102" s="5"/>
      <c r="G102" s="5"/>
      <c r="H102" s="1"/>
    </row>
    <row r="103" spans="1:8" x14ac:dyDescent="0.3">
      <c r="A103" s="6"/>
      <c r="B103" s="5"/>
      <c r="C103" s="5"/>
      <c r="D103" s="5"/>
      <c r="E103" s="5"/>
      <c r="F103" s="5"/>
      <c r="G103" s="5"/>
      <c r="H103" s="1"/>
    </row>
    <row r="104" spans="1:8" x14ac:dyDescent="0.3">
      <c r="A104" s="6"/>
      <c r="B104" s="5"/>
      <c r="C104" s="5"/>
      <c r="D104" s="5"/>
      <c r="E104" s="5"/>
      <c r="F104" s="5"/>
      <c r="G104" s="5"/>
      <c r="H104" s="1"/>
    </row>
    <row r="105" spans="1:8" x14ac:dyDescent="0.3">
      <c r="A105" s="6"/>
      <c r="B105" s="5"/>
      <c r="C105" s="5"/>
      <c r="D105" s="5"/>
      <c r="E105" s="5"/>
      <c r="F105" s="5"/>
      <c r="G105" s="5"/>
      <c r="H105" s="1"/>
    </row>
    <row r="106" spans="1:8" x14ac:dyDescent="0.3">
      <c r="A106" s="6"/>
      <c r="B106" s="5"/>
      <c r="C106" s="5"/>
      <c r="D106" s="5"/>
      <c r="E106" s="5"/>
      <c r="F106" s="5"/>
      <c r="G106" s="5"/>
      <c r="H106" s="1"/>
    </row>
    <row r="107" spans="1:8" x14ac:dyDescent="0.3">
      <c r="A107" s="6"/>
      <c r="B107" s="5"/>
      <c r="C107" s="5"/>
      <c r="D107" s="5"/>
      <c r="E107" s="5"/>
      <c r="F107" s="5"/>
      <c r="G107" s="5"/>
      <c r="H107" s="1"/>
    </row>
    <row r="108" spans="1:8" x14ac:dyDescent="0.3">
      <c r="A108" s="6"/>
      <c r="B108" s="5"/>
      <c r="C108" s="5"/>
      <c r="D108" s="5"/>
      <c r="E108" s="5"/>
      <c r="F108" s="5"/>
      <c r="G108" s="5"/>
      <c r="H108" s="1"/>
    </row>
    <row r="109" spans="1:8" x14ac:dyDescent="0.3">
      <c r="A109" s="6"/>
      <c r="B109" s="5"/>
      <c r="C109" s="5"/>
      <c r="D109" s="5"/>
      <c r="E109" s="5"/>
      <c r="F109" s="5"/>
      <c r="G109" s="5"/>
      <c r="H109" s="1"/>
    </row>
    <row r="110" spans="1:8" x14ac:dyDescent="0.3">
      <c r="A110" s="6"/>
      <c r="B110" s="5"/>
      <c r="C110" s="5"/>
      <c r="D110" s="5"/>
      <c r="E110" s="5"/>
      <c r="F110" s="5"/>
      <c r="G110" s="5"/>
      <c r="H110" s="1"/>
    </row>
    <row r="111" spans="1:8" x14ac:dyDescent="0.3">
      <c r="A111" s="6"/>
      <c r="B111" s="5"/>
      <c r="C111" s="5"/>
      <c r="D111" s="5"/>
      <c r="E111" s="5"/>
      <c r="F111" s="5"/>
      <c r="G111" s="5"/>
      <c r="H111" s="1"/>
    </row>
    <row r="112" spans="1:8" x14ac:dyDescent="0.3">
      <c r="A112" s="6"/>
      <c r="B112" s="5"/>
      <c r="C112" s="5"/>
      <c r="D112" s="5"/>
      <c r="E112" s="5"/>
      <c r="F112" s="5"/>
      <c r="G112" s="5"/>
      <c r="H112" s="1"/>
    </row>
    <row r="113" spans="1:8" x14ac:dyDescent="0.3">
      <c r="A113" s="6"/>
      <c r="B113" s="5"/>
      <c r="C113" s="5"/>
      <c r="D113" s="5"/>
      <c r="E113" s="5"/>
      <c r="F113" s="5"/>
      <c r="G113" s="5"/>
      <c r="H113" s="1"/>
    </row>
    <row r="114" spans="1:8" x14ac:dyDescent="0.3">
      <c r="A114" s="6"/>
      <c r="B114" s="5"/>
      <c r="C114" s="5"/>
      <c r="D114" s="5"/>
      <c r="E114" s="5"/>
      <c r="F114" s="5"/>
      <c r="G114" s="5"/>
      <c r="H114" s="1"/>
    </row>
    <row r="115" spans="1:8" x14ac:dyDescent="0.3">
      <c r="A115" s="6"/>
      <c r="B115" s="5"/>
      <c r="C115" s="5"/>
      <c r="D115" s="5"/>
      <c r="E115" s="5"/>
      <c r="F115" s="5"/>
      <c r="G115" s="5"/>
      <c r="H115" s="1"/>
    </row>
    <row r="116" spans="1:8" x14ac:dyDescent="0.3">
      <c r="A116" s="6"/>
      <c r="B116" s="5"/>
      <c r="C116" s="5"/>
      <c r="D116" s="5"/>
      <c r="E116" s="5"/>
      <c r="F116" s="5"/>
      <c r="G116" s="5"/>
      <c r="H116" s="1"/>
    </row>
    <row r="117" spans="1:8" x14ac:dyDescent="0.3">
      <c r="A117" s="6"/>
      <c r="B117" s="5"/>
      <c r="C117" s="5"/>
      <c r="D117" s="5"/>
      <c r="E117" s="5"/>
      <c r="F117" s="5"/>
      <c r="G117" s="5"/>
      <c r="H117" s="1"/>
    </row>
    <row r="118" spans="1:8" x14ac:dyDescent="0.3">
      <c r="A118" s="6"/>
      <c r="B118" s="5"/>
      <c r="C118" s="5"/>
      <c r="D118" s="5"/>
      <c r="E118" s="5"/>
      <c r="F118" s="5"/>
      <c r="G118" s="5"/>
      <c r="H118" s="1"/>
    </row>
    <row r="119" spans="1:8" x14ac:dyDescent="0.3">
      <c r="A119" s="6"/>
      <c r="B119" s="5"/>
      <c r="C119" s="5"/>
      <c r="D119" s="5"/>
      <c r="E119" s="5"/>
      <c r="F119" s="5"/>
      <c r="G119" s="5"/>
      <c r="H119" s="1"/>
    </row>
    <row r="120" spans="1:8" x14ac:dyDescent="0.3">
      <c r="A120" s="6"/>
      <c r="B120" s="5"/>
      <c r="C120" s="5"/>
      <c r="D120" s="5"/>
      <c r="E120" s="5"/>
      <c r="F120" s="5"/>
      <c r="G120" s="5"/>
      <c r="H120" s="1"/>
    </row>
    <row r="121" spans="1:8" x14ac:dyDescent="0.3">
      <c r="A121" s="6"/>
      <c r="B121" s="5"/>
      <c r="C121" s="5"/>
      <c r="D121" s="5"/>
      <c r="E121" s="5"/>
      <c r="F121" s="5"/>
      <c r="G121" s="5"/>
      <c r="H121" s="1"/>
    </row>
    <row r="122" spans="1:8" x14ac:dyDescent="0.3">
      <c r="A122" s="6"/>
      <c r="B122" s="5"/>
      <c r="C122" s="5"/>
      <c r="D122" s="5"/>
      <c r="E122" s="5"/>
      <c r="F122" s="5"/>
      <c r="G122" s="5"/>
      <c r="H122" s="1"/>
    </row>
    <row r="123" spans="1:8" x14ac:dyDescent="0.3">
      <c r="A123" s="6"/>
      <c r="B123" s="5"/>
      <c r="C123" s="5"/>
      <c r="D123" s="5"/>
      <c r="E123" s="5"/>
      <c r="F123" s="5"/>
      <c r="G123" s="5"/>
      <c r="H123" s="1"/>
    </row>
    <row r="124" spans="1:8" x14ac:dyDescent="0.3">
      <c r="A124" s="6"/>
      <c r="B124" s="5"/>
      <c r="C124" s="5"/>
      <c r="D124" s="5"/>
      <c r="E124" s="5"/>
      <c r="F124" s="5"/>
      <c r="G124" s="5"/>
      <c r="H124" s="1"/>
    </row>
    <row r="125" spans="1:8" x14ac:dyDescent="0.3">
      <c r="A125" s="6"/>
      <c r="B125" s="5"/>
      <c r="C125" s="5"/>
      <c r="D125" s="5"/>
      <c r="E125" s="5"/>
      <c r="F125" s="5"/>
      <c r="G125" s="5"/>
      <c r="H125" s="1"/>
    </row>
    <row r="126" spans="1:8" x14ac:dyDescent="0.3">
      <c r="A126" s="6"/>
      <c r="B126" s="5"/>
      <c r="C126" s="5"/>
      <c r="D126" s="5"/>
      <c r="E126" s="5"/>
      <c r="F126" s="5"/>
      <c r="G126" s="5"/>
      <c r="H126" s="1"/>
    </row>
    <row r="127" spans="1:8" x14ac:dyDescent="0.3">
      <c r="A127" s="6"/>
      <c r="B127" s="5"/>
      <c r="C127" s="5"/>
      <c r="D127" s="5"/>
      <c r="E127" s="5"/>
      <c r="F127" s="5"/>
      <c r="G127" s="5"/>
      <c r="H127" s="1"/>
    </row>
    <row r="128" spans="1:8" x14ac:dyDescent="0.3">
      <c r="A128" s="6"/>
      <c r="B128" s="5"/>
      <c r="C128" s="5"/>
      <c r="D128" s="5"/>
      <c r="E128" s="5"/>
      <c r="F128" s="5"/>
      <c r="G128" s="5"/>
      <c r="H128" s="1"/>
    </row>
    <row r="129" spans="1:8" x14ac:dyDescent="0.3">
      <c r="A129" s="6"/>
      <c r="B129" s="5"/>
      <c r="C129" s="5"/>
      <c r="D129" s="5"/>
      <c r="E129" s="5"/>
      <c r="F129" s="5"/>
      <c r="G129" s="5"/>
      <c r="H129" s="1"/>
    </row>
    <row r="130" spans="1:8" x14ac:dyDescent="0.3">
      <c r="A130" s="6"/>
      <c r="B130" s="5"/>
      <c r="C130" s="5"/>
      <c r="D130" s="5"/>
      <c r="E130" s="5"/>
      <c r="F130" s="5"/>
      <c r="G130" s="5"/>
      <c r="H130" s="1"/>
    </row>
    <row r="131" spans="1:8" x14ac:dyDescent="0.3">
      <c r="A131" s="6"/>
      <c r="B131" s="5"/>
      <c r="C131" s="5"/>
      <c r="D131" s="5"/>
      <c r="E131" s="5"/>
      <c r="F131" s="5"/>
      <c r="G131" s="5"/>
      <c r="H131" s="1"/>
    </row>
    <row r="132" spans="1:8" x14ac:dyDescent="0.3">
      <c r="A132" s="6"/>
      <c r="B132" s="5"/>
      <c r="C132" s="5"/>
      <c r="D132" s="5"/>
      <c r="E132" s="5"/>
      <c r="F132" s="5"/>
      <c r="G132" s="5"/>
      <c r="H132" s="1"/>
    </row>
    <row r="133" spans="1:8" x14ac:dyDescent="0.3">
      <c r="A133" s="6"/>
      <c r="B133" s="5"/>
      <c r="C133" s="5"/>
      <c r="D133" s="5"/>
      <c r="E133" s="5"/>
      <c r="F133" s="5"/>
      <c r="G133" s="5"/>
      <c r="H133" s="1"/>
    </row>
    <row r="134" spans="1:8" x14ac:dyDescent="0.3">
      <c r="A134" s="6"/>
      <c r="B134" s="5"/>
      <c r="C134" s="5"/>
      <c r="D134" s="5"/>
      <c r="E134" s="5"/>
      <c r="F134" s="5"/>
      <c r="G134" s="5"/>
      <c r="H134" s="1"/>
    </row>
    <row r="135" spans="1:8" x14ac:dyDescent="0.3">
      <c r="A135" s="6"/>
      <c r="B135" s="5"/>
      <c r="C135" s="5"/>
      <c r="D135" s="5"/>
      <c r="E135" s="5"/>
      <c r="F135" s="5"/>
      <c r="G135" s="5"/>
      <c r="H135" s="1"/>
    </row>
    <row r="136" spans="1:8" x14ac:dyDescent="0.3">
      <c r="A136" s="6"/>
      <c r="B136" s="5"/>
      <c r="C136" s="5"/>
      <c r="D136" s="5"/>
      <c r="E136" s="5"/>
      <c r="F136" s="5"/>
      <c r="G136" s="5"/>
      <c r="H136" s="1"/>
    </row>
    <row r="137" spans="1:8" x14ac:dyDescent="0.3">
      <c r="A137" s="6"/>
      <c r="B137" s="5"/>
      <c r="C137" s="5"/>
      <c r="D137" s="5"/>
      <c r="E137" s="5"/>
      <c r="F137" s="5"/>
      <c r="G137" s="5"/>
      <c r="H137" s="1"/>
    </row>
    <row r="138" spans="1:8" x14ac:dyDescent="0.3">
      <c r="A138" s="6"/>
      <c r="B138" s="5"/>
      <c r="C138" s="5"/>
      <c r="D138" s="5"/>
      <c r="E138" s="5"/>
      <c r="F138" s="5"/>
      <c r="G138" s="5"/>
      <c r="H138" s="1"/>
    </row>
    <row r="139" spans="1:8" x14ac:dyDescent="0.3">
      <c r="A139" s="6"/>
      <c r="B139" s="5"/>
      <c r="C139" s="5"/>
      <c r="D139" s="5"/>
      <c r="E139" s="5"/>
      <c r="F139" s="5"/>
      <c r="G139" s="5"/>
      <c r="H139" s="1"/>
    </row>
    <row r="140" spans="1:8" x14ac:dyDescent="0.3">
      <c r="A140" s="6"/>
      <c r="B140" s="5"/>
      <c r="C140" s="5"/>
      <c r="D140" s="5"/>
      <c r="E140" s="5"/>
      <c r="F140" s="5"/>
      <c r="G140" s="5"/>
      <c r="H140" s="1"/>
    </row>
    <row r="141" spans="1:8" x14ac:dyDescent="0.3">
      <c r="A141" s="6"/>
      <c r="B141" s="5"/>
      <c r="C141" s="5"/>
      <c r="D141" s="5"/>
      <c r="E141" s="5"/>
      <c r="F141" s="5"/>
      <c r="G141" s="5"/>
      <c r="H141" s="1"/>
    </row>
    <row r="142" spans="1:8" x14ac:dyDescent="0.3">
      <c r="A142" s="6"/>
      <c r="B142" s="5"/>
      <c r="C142" s="5"/>
      <c r="D142" s="5"/>
      <c r="E142" s="5"/>
      <c r="F142" s="5"/>
      <c r="G142" s="5"/>
      <c r="H142" s="1"/>
    </row>
    <row r="143" spans="1:8" x14ac:dyDescent="0.3">
      <c r="A143" s="6"/>
      <c r="B143" s="5"/>
      <c r="C143" s="5"/>
      <c r="D143" s="5"/>
      <c r="E143" s="5"/>
      <c r="F143" s="5"/>
      <c r="G143" s="5"/>
      <c r="H143" s="1"/>
    </row>
    <row r="144" spans="1:8" x14ac:dyDescent="0.3">
      <c r="A144" s="6"/>
      <c r="B144" s="5"/>
      <c r="C144" s="5"/>
      <c r="D144" s="5"/>
      <c r="E144" s="5"/>
      <c r="F144" s="5"/>
      <c r="G144" s="5"/>
      <c r="H144" s="1"/>
    </row>
    <row r="145" spans="1:8" x14ac:dyDescent="0.3">
      <c r="A145" s="6"/>
      <c r="B145" s="5"/>
      <c r="C145" s="5"/>
      <c r="D145" s="5"/>
      <c r="E145" s="5"/>
      <c r="F145" s="5"/>
      <c r="G145" s="5"/>
      <c r="H145" s="1"/>
    </row>
    <row r="146" spans="1:8" x14ac:dyDescent="0.3">
      <c r="A146" s="6"/>
      <c r="B146" s="5"/>
      <c r="C146" s="5"/>
      <c r="D146" s="5"/>
      <c r="E146" s="5"/>
      <c r="F146" s="5"/>
      <c r="G146" s="5"/>
      <c r="H146" s="1"/>
    </row>
    <row r="147" spans="1:8" x14ac:dyDescent="0.3">
      <c r="A147" s="6"/>
      <c r="B147" s="5"/>
      <c r="C147" s="5"/>
      <c r="D147" s="5"/>
      <c r="E147" s="5"/>
      <c r="F147" s="5"/>
      <c r="G147" s="5"/>
      <c r="H147" s="1"/>
    </row>
    <row r="148" spans="1:8" x14ac:dyDescent="0.3">
      <c r="A148" s="6"/>
      <c r="B148" s="5"/>
      <c r="C148" s="5"/>
      <c r="D148" s="5"/>
      <c r="E148" s="5"/>
      <c r="F148" s="5"/>
      <c r="G148" s="5"/>
      <c r="H148" s="1"/>
    </row>
    <row r="149" spans="1:8" x14ac:dyDescent="0.3">
      <c r="A149" s="6"/>
      <c r="B149" s="5"/>
      <c r="C149" s="5"/>
      <c r="D149" s="5"/>
      <c r="E149" s="5"/>
      <c r="F149" s="5"/>
      <c r="G149" s="5"/>
      <c r="H149" s="1"/>
    </row>
    <row r="150" spans="1:8" x14ac:dyDescent="0.3">
      <c r="A150" s="6"/>
      <c r="B150" s="5"/>
      <c r="C150" s="5"/>
      <c r="D150" s="5"/>
      <c r="E150" s="5"/>
      <c r="F150" s="5"/>
      <c r="G150" s="5"/>
      <c r="H150" s="1"/>
    </row>
    <row r="151" spans="1:8" x14ac:dyDescent="0.3">
      <c r="A151" s="6"/>
      <c r="B151" s="5"/>
      <c r="C151" s="5"/>
      <c r="D151" s="5"/>
      <c r="E151" s="5"/>
      <c r="F151" s="5"/>
      <c r="G151" s="5"/>
      <c r="H151" s="1"/>
    </row>
    <row r="152" spans="1:8" x14ac:dyDescent="0.3">
      <c r="A152" s="6"/>
      <c r="B152" s="5"/>
      <c r="C152" s="5"/>
      <c r="D152" s="5"/>
      <c r="E152" s="5"/>
      <c r="F152" s="5"/>
      <c r="G152" s="5"/>
      <c r="H152" s="1"/>
    </row>
    <row r="153" spans="1:8" x14ac:dyDescent="0.3">
      <c r="A153" s="6"/>
      <c r="B153" s="5"/>
      <c r="C153" s="5"/>
      <c r="D153" s="5"/>
      <c r="E153" s="5"/>
      <c r="F153" s="5"/>
      <c r="G153" s="5"/>
      <c r="H153" s="1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B3D6-375E-426F-9B12-119BA2E6A84F}">
  <dimension ref="A1:D6"/>
  <sheetViews>
    <sheetView workbookViewId="0">
      <selection activeCell="C4" sqref="C4"/>
    </sheetView>
  </sheetViews>
  <sheetFormatPr baseColWidth="10" defaultRowHeight="16.5" x14ac:dyDescent="0.3"/>
  <cols>
    <col min="1" max="1" width="16.875" customWidth="1"/>
    <col min="2" max="2" width="11.5" customWidth="1"/>
    <col min="3" max="3" width="13.25" customWidth="1"/>
  </cols>
  <sheetData>
    <row r="1" spans="1:4" x14ac:dyDescent="0.3">
      <c r="A1" s="17" t="s">
        <v>15</v>
      </c>
      <c r="B1" s="17"/>
      <c r="C1" s="17"/>
      <c r="D1" s="4"/>
    </row>
    <row r="2" spans="1:4" x14ac:dyDescent="0.3">
      <c r="A2" s="18" t="s">
        <v>18</v>
      </c>
      <c r="B2" s="18"/>
      <c r="C2" s="18"/>
      <c r="D2" s="4"/>
    </row>
    <row r="3" spans="1:4" x14ac:dyDescent="0.3">
      <c r="A3" s="4"/>
      <c r="B3" s="4"/>
      <c r="C3" s="4"/>
      <c r="D3" s="4"/>
    </row>
    <row r="4" spans="1:4" x14ac:dyDescent="0.3">
      <c r="A4" s="9" t="s">
        <v>14</v>
      </c>
      <c r="B4" s="4">
        <f>RAÍZ!D22</f>
        <v>5.7064180374145508</v>
      </c>
      <c r="C4" s="4">
        <f>RAÍZ!F22</f>
        <v>-7.7926163744024279E-8</v>
      </c>
      <c r="D4" s="4"/>
    </row>
    <row r="5" spans="1:4" x14ac:dyDescent="0.3">
      <c r="A5" s="9" t="s">
        <v>11</v>
      </c>
      <c r="B5" s="4">
        <f>COUNTIF(RAÍZ!H3:H22,"→")+1</f>
        <v>20</v>
      </c>
      <c r="C5" s="4"/>
      <c r="D5" s="4"/>
    </row>
    <row r="6" spans="1:4" x14ac:dyDescent="0.3">
      <c r="A6" s="4"/>
      <c r="B6" s="4"/>
      <c r="C6" s="4"/>
      <c r="D6" s="4"/>
    </row>
  </sheetData>
  <mergeCells count="2">
    <mergeCell ref="A1:C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DF8B-2C4E-4BD8-B9D8-A72A6B0231F1}">
  <dimension ref="A1:G8"/>
  <sheetViews>
    <sheetView workbookViewId="0">
      <selection activeCell="G12" sqref="G12"/>
    </sheetView>
  </sheetViews>
  <sheetFormatPr baseColWidth="10" defaultRowHeight="16.5" x14ac:dyDescent="0.3"/>
  <cols>
    <col min="3" max="3" width="14.125" bestFit="1" customWidth="1"/>
    <col min="6" max="6" width="20.25" customWidth="1"/>
  </cols>
  <sheetData>
    <row r="1" spans="1:7" x14ac:dyDescent="0.3">
      <c r="A1" s="19" t="s">
        <v>24</v>
      </c>
      <c r="B1" s="19"/>
      <c r="C1" s="19"/>
      <c r="D1" s="19"/>
      <c r="E1" s="19"/>
      <c r="F1" s="19"/>
      <c r="G1" s="19"/>
    </row>
    <row r="2" spans="1:7" x14ac:dyDescent="0.3">
      <c r="A2" s="11" t="s">
        <v>3</v>
      </c>
      <c r="B2" s="11" t="s">
        <v>22</v>
      </c>
      <c r="C2" s="11" t="s">
        <v>21</v>
      </c>
      <c r="D2" s="11" t="s">
        <v>20</v>
      </c>
      <c r="E2" s="11" t="s">
        <v>19</v>
      </c>
      <c r="F2" s="11" t="s">
        <v>8</v>
      </c>
      <c r="G2" s="11" t="s">
        <v>9</v>
      </c>
    </row>
    <row r="3" spans="1:7" x14ac:dyDescent="0.3">
      <c r="A3" s="11">
        <v>1</v>
      </c>
      <c r="B3" s="5">
        <v>5.5</v>
      </c>
      <c r="C3" s="13">
        <f>3*SIN(0.5*B3) - 0.5*B3 + 2</f>
        <v>0.39498297615699496</v>
      </c>
      <c r="D3" s="5">
        <f>1.5*COS(0.5*B3) - 0.5</f>
        <v>-1.8864535679486953</v>
      </c>
      <c r="E3" s="5">
        <f>B3 - C3/D3</f>
        <v>5.7093785836385544</v>
      </c>
      <c r="F3" s="12">
        <f>ABS(E3-B3)</f>
        <v>0.20937858363855444</v>
      </c>
      <c r="G3" s="1" t="str">
        <f>IF(OR(ABS(C3)&lt;=CONFIG!$B$5,F3&lt;=CONFIG!$B$5),"✓","→")</f>
        <v>→</v>
      </c>
    </row>
    <row r="4" spans="1:7" x14ac:dyDescent="0.3">
      <c r="A4" s="11">
        <f>A3+1</f>
        <v>2</v>
      </c>
      <c r="B4" s="5">
        <f>E3</f>
        <v>5.7093785836385544</v>
      </c>
      <c r="C4" s="13">
        <f>3*SIN(0.5*B4) - 0.5*B4 + 2</f>
        <v>-5.7387191946283167E-3</v>
      </c>
      <c r="D4" s="5">
        <f>1.5*COS(0.5*B4) - 0.5</f>
        <v>-1.9386871554685092</v>
      </c>
      <c r="E4" s="5">
        <f>B4 - C4/D4</f>
        <v>5.7064184777862819</v>
      </c>
      <c r="F4" s="12">
        <f>ABS(E4-B4)</f>
        <v>2.9601058522725765E-3</v>
      </c>
      <c r="G4" s="1" t="str">
        <f>IF(OR(ABS(C4)&lt;=CONFIG!$B$5,F4&lt;=CONFIG!$B$5),"✓","→")</f>
        <v>→</v>
      </c>
    </row>
    <row r="5" spans="1:7" x14ac:dyDescent="0.3">
      <c r="A5" s="11">
        <f>A4+1</f>
        <v>3</v>
      </c>
      <c r="B5" s="5">
        <f>E4</f>
        <v>5.7064184777862819</v>
      </c>
      <c r="C5" s="13">
        <f>3*SIN(0.5*B5) - 0.5*B5 + 2</f>
        <v>-9.313918063469373E-7</v>
      </c>
      <c r="D5" s="5">
        <f>1.5*COS(0.5*B5) - 0.5</f>
        <v>-1.9380573340457177</v>
      </c>
      <c r="E5" s="5">
        <f>B5 - C5/D5</f>
        <v>5.7064179972061719</v>
      </c>
      <c r="F5" s="12">
        <f>ABS(E5-B5)</f>
        <v>4.8058010992946265E-7</v>
      </c>
      <c r="G5" s="1" t="str">
        <f>IF(OR(ABS(C5)&lt;=CONFIG!$B$5,F5&lt;=CONFIG!$B$5),"✓","→")</f>
        <v>✓</v>
      </c>
    </row>
    <row r="6" spans="1:7" x14ac:dyDescent="0.3">
      <c r="A6" s="1"/>
      <c r="B6" s="5"/>
      <c r="C6" s="5"/>
      <c r="D6" s="5"/>
      <c r="F6" s="5"/>
      <c r="G6" s="1"/>
    </row>
    <row r="7" spans="1:7" x14ac:dyDescent="0.3">
      <c r="A7" s="1"/>
      <c r="B7" s="5"/>
      <c r="C7" s="5"/>
      <c r="D7" s="5"/>
      <c r="E7" s="5"/>
      <c r="F7" s="5"/>
      <c r="G7" s="1"/>
    </row>
    <row r="8" spans="1:7" x14ac:dyDescent="0.3">
      <c r="A8" s="1"/>
      <c r="B8" s="5"/>
      <c r="C8" s="5"/>
      <c r="D8" s="5"/>
      <c r="E8" s="5"/>
      <c r="F8" s="5"/>
      <c r="G8" s="1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4C540-5F69-4E95-9697-AFA088610531}">
  <dimension ref="A1:D5"/>
  <sheetViews>
    <sheetView workbookViewId="0">
      <selection activeCell="B5" sqref="B5"/>
    </sheetView>
  </sheetViews>
  <sheetFormatPr baseColWidth="10" defaultRowHeight="16.5" x14ac:dyDescent="0.3"/>
  <cols>
    <col min="2" max="2" width="12.625" bestFit="1" customWidth="1"/>
    <col min="3" max="3" width="22.25" customWidth="1"/>
  </cols>
  <sheetData>
    <row r="1" spans="1:4" x14ac:dyDescent="0.3">
      <c r="A1" s="17" t="s">
        <v>15</v>
      </c>
      <c r="B1" s="17"/>
      <c r="C1" s="17"/>
      <c r="D1" s="4"/>
    </row>
    <row r="2" spans="1:4" x14ac:dyDescent="0.3">
      <c r="A2" s="19" t="s">
        <v>24</v>
      </c>
      <c r="B2" s="19"/>
      <c r="C2" s="19"/>
      <c r="D2" s="4"/>
    </row>
    <row r="3" spans="1:4" x14ac:dyDescent="0.3">
      <c r="A3" s="4"/>
      <c r="B3" s="4"/>
      <c r="C3" s="4"/>
      <c r="D3" s="4"/>
    </row>
    <row r="4" spans="1:4" x14ac:dyDescent="0.3">
      <c r="A4" s="9" t="s">
        <v>23</v>
      </c>
      <c r="B4" s="4">
        <f>'NEWTON=5.5'!E5</f>
        <v>5.7064179972061719</v>
      </c>
      <c r="C4" s="14">
        <f>'NEWTON=5.5'!F5</f>
        <v>4.8058010992946265E-7</v>
      </c>
      <c r="D4" s="4"/>
    </row>
    <row r="5" spans="1:4" x14ac:dyDescent="0.3">
      <c r="A5" s="11" t="s">
        <v>11</v>
      </c>
      <c r="B5" s="4">
        <f>COUNTIF('NEWTON=5.5'!G3:G5,"→")+1</f>
        <v>3</v>
      </c>
      <c r="C5" s="4"/>
      <c r="D5" s="4"/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3D15-9D67-4216-983A-13AB2ED1051D}">
  <dimension ref="A1:H133"/>
  <sheetViews>
    <sheetView zoomScale="98" zoomScaleNormal="98" workbookViewId="0">
      <selection activeCell="I14" sqref="I14"/>
    </sheetView>
  </sheetViews>
  <sheetFormatPr baseColWidth="10" defaultRowHeight="16.5" x14ac:dyDescent="0.3"/>
  <cols>
    <col min="1" max="4" width="11.5" customWidth="1"/>
    <col min="5" max="5" width="14.25" customWidth="1"/>
    <col min="6" max="6" width="13.25" customWidth="1"/>
    <col min="7" max="8" width="11.5" customWidth="1"/>
  </cols>
  <sheetData>
    <row r="1" spans="1:8" x14ac:dyDescent="0.3">
      <c r="A1" s="19" t="s">
        <v>29</v>
      </c>
      <c r="B1" s="19"/>
      <c r="C1" s="19"/>
      <c r="D1" s="19"/>
      <c r="E1" s="19"/>
      <c r="F1" s="19"/>
      <c r="G1" s="19"/>
      <c r="H1" s="19"/>
    </row>
    <row r="2" spans="1:8" x14ac:dyDescent="0.3">
      <c r="A2" s="11" t="s">
        <v>3</v>
      </c>
      <c r="B2" s="11" t="s">
        <v>27</v>
      </c>
      <c r="C2" s="11" t="s">
        <v>22</v>
      </c>
      <c r="D2" s="11" t="s">
        <v>26</v>
      </c>
      <c r="E2" s="11" t="s">
        <v>21</v>
      </c>
      <c r="F2" s="11" t="s">
        <v>19</v>
      </c>
      <c r="G2" s="11" t="s">
        <v>8</v>
      </c>
      <c r="H2" s="11" t="s">
        <v>9</v>
      </c>
    </row>
    <row r="3" spans="1:8" x14ac:dyDescent="0.3">
      <c r="A3" s="11">
        <v>1</v>
      </c>
      <c r="B3" s="5">
        <v>5</v>
      </c>
      <c r="C3" s="5">
        <v>6</v>
      </c>
      <c r="D3" s="5">
        <f>3*SIN(0.5*B3) - 0.5*B3 + 2</f>
        <v>1.2954164323118698</v>
      </c>
      <c r="E3" s="5">
        <f>3*SIN(0.5*C3) - 0.5*C3 + 2</f>
        <v>-0.57663997582039839</v>
      </c>
      <c r="F3" s="5">
        <f>C3 - E3*(C3-B3)/(E3-D3)</f>
        <v>5.6919751064575523</v>
      </c>
      <c r="G3" s="12">
        <f>ABS(F3-C3)</f>
        <v>0.30802489354244766</v>
      </c>
      <c r="H3" s="1" t="str">
        <f>IF(OR(ABS(F3)&lt;CONFIG!$B$5,G3&lt;CONFIG!$B$5),"✓","→")</f>
        <v>→</v>
      </c>
    </row>
    <row r="4" spans="1:8" x14ac:dyDescent="0.3">
      <c r="A4" s="11">
        <f>A3+1</f>
        <v>2</v>
      </c>
      <c r="B4" s="5">
        <f>C3</f>
        <v>6</v>
      </c>
      <c r="C4" s="5">
        <f>F3</f>
        <v>5.6919751064575523</v>
      </c>
      <c r="D4" s="5">
        <f>E3</f>
        <v>-0.57663997582039839</v>
      </c>
      <c r="E4" s="5">
        <f>3*SIN(0.5*C4) - 0.5*C4 + 2</f>
        <v>2.7968721321341095E-2</v>
      </c>
      <c r="F4" s="5">
        <f>C4 - E4*(C4-B4)/(E4-D4)</f>
        <v>5.7062240950153615</v>
      </c>
      <c r="G4" s="12">
        <f>ABS(F4-C4)</f>
        <v>1.4248988557809206E-2</v>
      </c>
      <c r="H4" s="1" t="str">
        <f>IF(OR(ABS(F4)&lt;CONFIG!$B$5,G4&lt;CONFIG!$B$5),"✓","→")</f>
        <v>→</v>
      </c>
    </row>
    <row r="5" spans="1:8" x14ac:dyDescent="0.3">
      <c r="A5" s="11">
        <f>A4+1</f>
        <v>3</v>
      </c>
      <c r="B5" s="5">
        <f>C4</f>
        <v>5.6919751064575523</v>
      </c>
      <c r="C5" s="5">
        <f>F4</f>
        <v>5.7062240950153615</v>
      </c>
      <c r="D5" s="5">
        <f>E4</f>
        <v>2.7968721321341095E-2</v>
      </c>
      <c r="E5" s="5">
        <f>3*SIN(0.5*C5) - 0.5*C5 + 2</f>
        <v>3.7578953277472849E-4</v>
      </c>
      <c r="F5" s="5">
        <f>C5 - E5*(C5-B5)/(E5-D5)</f>
        <v>5.7064181527107776</v>
      </c>
      <c r="G5" s="12">
        <f>ABS(F5-C5)</f>
        <v>1.940576954160278E-4</v>
      </c>
      <c r="H5" s="1" t="str">
        <f>IF(OR(ABS(F5)&lt;CONFIG!$B$5,G5&lt;CONFIG!$B$5),"✓","→")</f>
        <v>→</v>
      </c>
    </row>
    <row r="6" spans="1:8" x14ac:dyDescent="0.3">
      <c r="A6" s="11">
        <f>A5+1</f>
        <v>4</v>
      </c>
      <c r="B6" s="5">
        <f>C5</f>
        <v>5.7062240950153615</v>
      </c>
      <c r="C6" s="5">
        <f>F5</f>
        <v>5.7064181527107776</v>
      </c>
      <c r="D6" s="5">
        <f>E5</f>
        <v>3.7578953277472849E-4</v>
      </c>
      <c r="E6" s="5">
        <f>3*SIN(0.5*C6) - 0.5*C6 + 2</f>
        <v>-3.0137685236297784E-7</v>
      </c>
      <c r="F6" s="5">
        <f>C6 - E6*(C6-B6)/(E6-D6)</f>
        <v>5.7064179972044995</v>
      </c>
      <c r="G6" s="12">
        <f>ABS(F6-C6)</f>
        <v>1.5550627807670026E-7</v>
      </c>
      <c r="H6" s="1" t="str">
        <f>IF(OR(ABS(F6)&lt;CONFIG!$B$5,G6&lt;CONFIG!$B$5),"✓","→")</f>
        <v>✓</v>
      </c>
    </row>
    <row r="7" spans="1:8" x14ac:dyDescent="0.3">
      <c r="A7" s="1"/>
      <c r="B7" s="5"/>
      <c r="C7" s="5"/>
      <c r="D7" s="5"/>
      <c r="E7" s="5"/>
      <c r="F7" s="5"/>
      <c r="G7" s="5"/>
      <c r="H7" s="1"/>
    </row>
    <row r="8" spans="1:8" x14ac:dyDescent="0.3">
      <c r="A8" s="1"/>
      <c r="B8" s="5"/>
      <c r="C8" s="5"/>
      <c r="D8" s="5"/>
      <c r="E8" s="5"/>
      <c r="F8" s="5"/>
      <c r="G8" s="5"/>
      <c r="H8" s="1"/>
    </row>
    <row r="9" spans="1:8" x14ac:dyDescent="0.3">
      <c r="A9" s="1"/>
      <c r="B9" s="5"/>
      <c r="C9" s="5"/>
      <c r="D9" s="5"/>
      <c r="E9" s="5"/>
      <c r="F9" s="5"/>
      <c r="G9" s="5"/>
      <c r="H9" s="1"/>
    </row>
    <row r="10" spans="1:8" x14ac:dyDescent="0.3">
      <c r="A10" s="1"/>
      <c r="B10" s="5"/>
      <c r="C10" s="5"/>
      <c r="D10" s="5"/>
      <c r="E10" s="5"/>
      <c r="F10" s="5"/>
      <c r="G10" s="5"/>
      <c r="H10" s="1"/>
    </row>
    <row r="11" spans="1:8" x14ac:dyDescent="0.3">
      <c r="A11" s="1"/>
      <c r="B11" s="5"/>
      <c r="C11" s="5"/>
      <c r="D11" s="5"/>
      <c r="E11" s="5"/>
      <c r="F11" s="5"/>
      <c r="G11" s="5"/>
      <c r="H11" s="1"/>
    </row>
    <row r="12" spans="1:8" x14ac:dyDescent="0.3">
      <c r="A12" s="1"/>
      <c r="B12" s="5"/>
      <c r="C12" s="5"/>
      <c r="D12" s="5"/>
      <c r="E12" s="5"/>
      <c r="F12" s="5"/>
      <c r="G12" s="5"/>
      <c r="H12" s="1"/>
    </row>
    <row r="13" spans="1:8" x14ac:dyDescent="0.3">
      <c r="A13" s="1"/>
      <c r="B13" s="5"/>
      <c r="C13" s="5"/>
      <c r="D13" s="5"/>
      <c r="E13" s="5"/>
      <c r="F13" s="5"/>
      <c r="G13" s="5"/>
      <c r="H13" s="1"/>
    </row>
    <row r="14" spans="1:8" x14ac:dyDescent="0.3">
      <c r="A14" s="1"/>
      <c r="B14" s="5"/>
      <c r="C14" s="5"/>
      <c r="D14" s="5"/>
      <c r="E14" s="5"/>
      <c r="F14" s="5"/>
      <c r="G14" s="5"/>
      <c r="H14" s="1"/>
    </row>
    <row r="15" spans="1:8" x14ac:dyDescent="0.3">
      <c r="A15" s="1"/>
      <c r="B15" s="5"/>
      <c r="C15" s="5"/>
      <c r="D15" s="5"/>
      <c r="E15" s="5"/>
      <c r="F15" s="5"/>
      <c r="G15" s="5"/>
      <c r="H15" s="1"/>
    </row>
    <row r="16" spans="1:8" x14ac:dyDescent="0.3">
      <c r="A16" s="1"/>
      <c r="B16" s="5"/>
      <c r="C16" s="5"/>
      <c r="D16" s="5"/>
      <c r="E16" s="5"/>
      <c r="F16" s="5"/>
      <c r="G16" s="5"/>
      <c r="H16" s="1"/>
    </row>
    <row r="17" spans="1:8" x14ac:dyDescent="0.3">
      <c r="A17" s="1"/>
      <c r="B17" s="5"/>
      <c r="C17" s="5"/>
      <c r="D17" s="5"/>
      <c r="E17" s="5"/>
      <c r="F17" s="5"/>
      <c r="G17" s="5"/>
      <c r="H17" s="1"/>
    </row>
    <row r="18" spans="1:8" x14ac:dyDescent="0.3">
      <c r="A18" s="1"/>
      <c r="B18" s="5"/>
      <c r="C18" s="5"/>
      <c r="D18" s="5"/>
      <c r="E18" s="5"/>
      <c r="F18" s="5"/>
      <c r="G18" s="5"/>
      <c r="H18" s="1"/>
    </row>
    <row r="19" spans="1:8" x14ac:dyDescent="0.3">
      <c r="A19" s="1"/>
      <c r="B19" s="5"/>
      <c r="C19" s="5"/>
      <c r="D19" s="5"/>
      <c r="E19" s="5"/>
      <c r="F19" s="5"/>
      <c r="G19" s="5"/>
      <c r="H19" s="1"/>
    </row>
    <row r="20" spans="1:8" x14ac:dyDescent="0.3">
      <c r="A20" s="1"/>
      <c r="B20" s="5"/>
      <c r="C20" s="5"/>
      <c r="D20" s="5"/>
      <c r="E20" s="5"/>
      <c r="F20" s="5"/>
      <c r="G20" s="5"/>
      <c r="H20" s="1"/>
    </row>
    <row r="21" spans="1:8" x14ac:dyDescent="0.3">
      <c r="A21" s="1"/>
      <c r="B21" s="5"/>
      <c r="C21" s="5"/>
      <c r="D21" s="5"/>
      <c r="E21" s="5"/>
      <c r="F21" s="5"/>
      <c r="G21" s="5"/>
      <c r="H21" s="1"/>
    </row>
    <row r="22" spans="1:8" x14ac:dyDescent="0.3">
      <c r="A22" s="1"/>
      <c r="B22" s="5"/>
      <c r="C22" s="5"/>
      <c r="D22" s="5"/>
      <c r="E22" s="5"/>
      <c r="F22" s="5"/>
      <c r="G22" s="5"/>
      <c r="H22" s="1"/>
    </row>
    <row r="23" spans="1:8" x14ac:dyDescent="0.3">
      <c r="A23" s="1"/>
      <c r="B23" s="5"/>
      <c r="C23" s="5"/>
      <c r="D23" s="5"/>
      <c r="E23" s="5"/>
      <c r="F23" s="5"/>
      <c r="G23" s="5"/>
      <c r="H23" s="1"/>
    </row>
    <row r="24" spans="1:8" x14ac:dyDescent="0.3">
      <c r="A24" s="1"/>
      <c r="B24" s="5"/>
      <c r="C24" s="5"/>
      <c r="D24" s="5"/>
      <c r="E24" s="5"/>
      <c r="F24" s="5"/>
      <c r="G24" s="5"/>
      <c r="H24" s="1"/>
    </row>
    <row r="25" spans="1:8" x14ac:dyDescent="0.3">
      <c r="A25" s="1"/>
      <c r="B25" s="5"/>
      <c r="C25" s="5"/>
      <c r="D25" s="5"/>
      <c r="E25" s="5"/>
      <c r="F25" s="5"/>
      <c r="G25" s="5"/>
      <c r="H25" s="1"/>
    </row>
    <row r="26" spans="1:8" x14ac:dyDescent="0.3">
      <c r="A26" s="1"/>
      <c r="B26" s="5"/>
      <c r="C26" s="5"/>
      <c r="D26" s="5"/>
      <c r="E26" s="5"/>
      <c r="F26" s="5"/>
      <c r="G26" s="5"/>
      <c r="H26" s="1"/>
    </row>
    <row r="27" spans="1:8" x14ac:dyDescent="0.3">
      <c r="A27" s="1"/>
      <c r="B27" s="5"/>
      <c r="C27" s="5"/>
      <c r="D27" s="5"/>
      <c r="E27" s="5"/>
      <c r="F27" s="5"/>
      <c r="G27" s="5"/>
      <c r="H27" s="1"/>
    </row>
    <row r="28" spans="1:8" x14ac:dyDescent="0.3">
      <c r="A28" s="1"/>
      <c r="B28" s="5"/>
      <c r="C28" s="5"/>
      <c r="D28" s="5"/>
      <c r="E28" s="5"/>
      <c r="F28" s="5"/>
      <c r="G28" s="5"/>
      <c r="H28" s="1"/>
    </row>
    <row r="29" spans="1:8" x14ac:dyDescent="0.3">
      <c r="A29" s="1"/>
      <c r="B29" s="5"/>
      <c r="C29" s="5"/>
      <c r="D29" s="5"/>
      <c r="E29" s="5"/>
      <c r="F29" s="5"/>
      <c r="G29" s="5"/>
      <c r="H29" s="1"/>
    </row>
    <row r="30" spans="1:8" x14ac:dyDescent="0.3">
      <c r="A30" s="1"/>
      <c r="B30" s="5"/>
      <c r="C30" s="5"/>
      <c r="D30" s="5"/>
      <c r="E30" s="5"/>
      <c r="F30" s="5"/>
      <c r="G30" s="5"/>
      <c r="H30" s="1"/>
    </row>
    <row r="31" spans="1:8" x14ac:dyDescent="0.3">
      <c r="A31" s="1"/>
      <c r="B31" s="5"/>
      <c r="C31" s="5"/>
      <c r="D31" s="5"/>
      <c r="E31" s="5"/>
      <c r="F31" s="5"/>
      <c r="G31" s="5"/>
      <c r="H31" s="1"/>
    </row>
    <row r="32" spans="1:8" x14ac:dyDescent="0.3">
      <c r="A32" s="1"/>
      <c r="B32" s="5"/>
      <c r="C32" s="5"/>
      <c r="D32" s="5"/>
      <c r="E32" s="5"/>
      <c r="F32" s="5"/>
      <c r="G32" s="5"/>
      <c r="H32" s="1"/>
    </row>
    <row r="33" spans="1:8" x14ac:dyDescent="0.3">
      <c r="A33" s="1"/>
      <c r="B33" s="5"/>
      <c r="C33" s="5"/>
      <c r="D33" s="5"/>
      <c r="E33" s="5"/>
      <c r="F33" s="5"/>
      <c r="G33" s="5"/>
      <c r="H33" s="1"/>
    </row>
    <row r="34" spans="1:8" x14ac:dyDescent="0.3">
      <c r="A34" s="1"/>
      <c r="B34" s="5"/>
      <c r="C34" s="5"/>
      <c r="D34" s="5"/>
      <c r="E34" s="5"/>
      <c r="F34" s="5"/>
      <c r="G34" s="5"/>
      <c r="H34" s="1"/>
    </row>
    <row r="35" spans="1:8" x14ac:dyDescent="0.3">
      <c r="A35" s="1"/>
      <c r="B35" s="5"/>
      <c r="C35" s="5"/>
      <c r="D35" s="5"/>
      <c r="E35" s="5"/>
      <c r="F35" s="5"/>
      <c r="G35" s="5"/>
      <c r="H35" s="1"/>
    </row>
    <row r="36" spans="1:8" x14ac:dyDescent="0.3">
      <c r="A36" s="1"/>
      <c r="B36" s="5"/>
      <c r="C36" s="5"/>
      <c r="D36" s="5"/>
      <c r="E36" s="5"/>
      <c r="F36" s="5"/>
      <c r="G36" s="5"/>
      <c r="H36" s="1"/>
    </row>
    <row r="37" spans="1:8" x14ac:dyDescent="0.3">
      <c r="A37" s="1"/>
      <c r="B37" s="5"/>
      <c r="C37" s="5"/>
      <c r="D37" s="5"/>
      <c r="E37" s="5"/>
      <c r="F37" s="5"/>
      <c r="G37" s="5"/>
      <c r="H37" s="1"/>
    </row>
    <row r="38" spans="1:8" x14ac:dyDescent="0.3">
      <c r="A38" s="1"/>
      <c r="B38" s="5"/>
      <c r="C38" s="5"/>
      <c r="D38" s="5"/>
      <c r="E38" s="5"/>
      <c r="F38" s="5"/>
      <c r="G38" s="5"/>
      <c r="H38" s="1"/>
    </row>
    <row r="39" spans="1:8" x14ac:dyDescent="0.3">
      <c r="A39" s="1"/>
      <c r="B39" s="5"/>
      <c r="C39" s="5"/>
      <c r="D39" s="5"/>
      <c r="E39" s="5"/>
      <c r="F39" s="5"/>
      <c r="G39" s="5"/>
      <c r="H39" s="1"/>
    </row>
    <row r="40" spans="1:8" x14ac:dyDescent="0.3">
      <c r="A40" s="1"/>
      <c r="B40" s="5"/>
      <c r="C40" s="5"/>
      <c r="D40" s="5"/>
      <c r="E40" s="5"/>
      <c r="F40" s="5"/>
      <c r="G40" s="5"/>
      <c r="H40" s="1"/>
    </row>
    <row r="41" spans="1:8" x14ac:dyDescent="0.3">
      <c r="A41" s="1"/>
      <c r="B41" s="5"/>
      <c r="C41" s="5"/>
      <c r="D41" s="5"/>
      <c r="E41" s="5"/>
      <c r="F41" s="5"/>
      <c r="G41" s="5"/>
      <c r="H41" s="1"/>
    </row>
    <row r="42" spans="1:8" x14ac:dyDescent="0.3">
      <c r="A42" s="1"/>
      <c r="B42" s="5"/>
      <c r="C42" s="5"/>
      <c r="D42" s="5"/>
      <c r="E42" s="5"/>
      <c r="F42" s="5"/>
      <c r="G42" s="5"/>
      <c r="H42" s="1"/>
    </row>
    <row r="43" spans="1:8" x14ac:dyDescent="0.3">
      <c r="A43" s="1"/>
      <c r="B43" s="5"/>
      <c r="C43" s="5"/>
      <c r="D43" s="5"/>
      <c r="E43" s="5"/>
      <c r="F43" s="5"/>
      <c r="G43" s="5"/>
      <c r="H43" s="1"/>
    </row>
    <row r="44" spans="1:8" x14ac:dyDescent="0.3">
      <c r="A44" s="1"/>
      <c r="B44" s="5"/>
      <c r="C44" s="5"/>
      <c r="D44" s="5"/>
      <c r="E44" s="5"/>
      <c r="F44" s="5"/>
      <c r="G44" s="5"/>
      <c r="H44" s="1"/>
    </row>
    <row r="45" spans="1:8" x14ac:dyDescent="0.3">
      <c r="A45" s="1"/>
      <c r="B45" s="5"/>
      <c r="C45" s="5"/>
      <c r="D45" s="5"/>
      <c r="E45" s="5"/>
      <c r="F45" s="5"/>
      <c r="G45" s="5"/>
      <c r="H45" s="1"/>
    </row>
    <row r="46" spans="1:8" x14ac:dyDescent="0.3">
      <c r="A46" s="1"/>
      <c r="B46" s="5"/>
      <c r="C46" s="5"/>
      <c r="D46" s="5"/>
      <c r="E46" s="5"/>
      <c r="F46" s="5"/>
      <c r="G46" s="5"/>
      <c r="H46" s="1"/>
    </row>
    <row r="47" spans="1:8" x14ac:dyDescent="0.3">
      <c r="A47" s="1"/>
      <c r="B47" s="5"/>
      <c r="C47" s="5"/>
      <c r="D47" s="5"/>
      <c r="E47" s="5"/>
      <c r="F47" s="5"/>
      <c r="G47" s="5"/>
      <c r="H47" s="1"/>
    </row>
    <row r="48" spans="1:8" x14ac:dyDescent="0.3">
      <c r="A48" s="1"/>
      <c r="B48" s="5"/>
      <c r="C48" s="5"/>
      <c r="D48" s="5"/>
      <c r="E48" s="5"/>
      <c r="F48" s="5"/>
      <c r="G48" s="5"/>
      <c r="H48" s="1"/>
    </row>
    <row r="49" spans="1:8" x14ac:dyDescent="0.3">
      <c r="A49" s="1"/>
      <c r="B49" s="5"/>
      <c r="C49" s="5"/>
      <c r="D49" s="5"/>
      <c r="E49" s="5"/>
      <c r="F49" s="5"/>
      <c r="G49" s="5"/>
      <c r="H49" s="1"/>
    </row>
    <row r="50" spans="1:8" x14ac:dyDescent="0.3">
      <c r="A50" s="1"/>
      <c r="B50" s="5"/>
      <c r="C50" s="5"/>
      <c r="D50" s="5"/>
      <c r="E50" s="5"/>
      <c r="F50" s="5"/>
      <c r="G50" s="5"/>
      <c r="H50" s="1"/>
    </row>
    <row r="51" spans="1:8" x14ac:dyDescent="0.3">
      <c r="A51" s="1"/>
      <c r="B51" s="5"/>
      <c r="C51" s="5"/>
      <c r="D51" s="5"/>
      <c r="E51" s="5"/>
      <c r="F51" s="5"/>
      <c r="G51" s="5"/>
      <c r="H51" s="1"/>
    </row>
    <row r="52" spans="1:8" x14ac:dyDescent="0.3">
      <c r="A52" s="1"/>
      <c r="B52" s="5"/>
      <c r="C52" s="5"/>
      <c r="D52" s="5"/>
      <c r="E52" s="5"/>
      <c r="F52" s="5"/>
      <c r="G52" s="5"/>
      <c r="H52" s="1"/>
    </row>
    <row r="53" spans="1:8" x14ac:dyDescent="0.3">
      <c r="A53" s="1"/>
      <c r="B53" s="5"/>
      <c r="C53" s="5"/>
      <c r="D53" s="5"/>
      <c r="E53" s="5"/>
      <c r="F53" s="5"/>
      <c r="G53" s="5"/>
      <c r="H53" s="1"/>
    </row>
    <row r="54" spans="1:8" x14ac:dyDescent="0.3">
      <c r="A54" s="1"/>
      <c r="B54" s="5"/>
      <c r="C54" s="5"/>
      <c r="D54" s="5"/>
      <c r="E54" s="5"/>
      <c r="F54" s="5"/>
      <c r="G54" s="5"/>
      <c r="H54" s="1"/>
    </row>
    <row r="55" spans="1:8" x14ac:dyDescent="0.3">
      <c r="A55" s="1"/>
      <c r="B55" s="5"/>
      <c r="C55" s="5"/>
      <c r="D55" s="5"/>
      <c r="E55" s="5"/>
      <c r="F55" s="5"/>
      <c r="G55" s="5"/>
      <c r="H55" s="1"/>
    </row>
    <row r="56" spans="1:8" x14ac:dyDescent="0.3">
      <c r="A56" s="1"/>
      <c r="B56" s="5"/>
      <c r="C56" s="5"/>
      <c r="D56" s="5"/>
      <c r="E56" s="5"/>
      <c r="F56" s="5"/>
      <c r="G56" s="5"/>
      <c r="H56" s="1"/>
    </row>
    <row r="57" spans="1:8" x14ac:dyDescent="0.3">
      <c r="A57" s="1"/>
      <c r="B57" s="5"/>
      <c r="C57" s="5"/>
      <c r="D57" s="5"/>
      <c r="E57" s="5"/>
      <c r="F57" s="5"/>
      <c r="G57" s="5"/>
      <c r="H57" s="1"/>
    </row>
    <row r="58" spans="1:8" x14ac:dyDescent="0.3">
      <c r="A58" s="1"/>
      <c r="B58" s="5"/>
      <c r="C58" s="5"/>
      <c r="D58" s="5"/>
      <c r="E58" s="5"/>
      <c r="F58" s="5"/>
      <c r="G58" s="5"/>
      <c r="H58" s="1"/>
    </row>
    <row r="59" spans="1:8" x14ac:dyDescent="0.3">
      <c r="A59" s="1"/>
      <c r="B59" s="5"/>
      <c r="C59" s="5"/>
      <c r="D59" s="5"/>
      <c r="E59" s="5"/>
      <c r="F59" s="5"/>
      <c r="G59" s="5"/>
      <c r="H59" s="1"/>
    </row>
    <row r="60" spans="1:8" x14ac:dyDescent="0.3">
      <c r="A60" s="1"/>
      <c r="B60" s="5"/>
      <c r="C60" s="5"/>
      <c r="D60" s="5"/>
      <c r="E60" s="5"/>
      <c r="F60" s="5"/>
      <c r="G60" s="5"/>
      <c r="H60" s="1"/>
    </row>
    <row r="61" spans="1:8" x14ac:dyDescent="0.3">
      <c r="A61" s="1"/>
      <c r="B61" s="5"/>
      <c r="C61" s="5"/>
      <c r="D61" s="5"/>
      <c r="E61" s="5"/>
      <c r="F61" s="5"/>
      <c r="G61" s="5"/>
      <c r="H61" s="1"/>
    </row>
    <row r="62" spans="1:8" x14ac:dyDescent="0.3">
      <c r="A62" s="1"/>
      <c r="B62" s="5"/>
      <c r="C62" s="5"/>
      <c r="D62" s="5"/>
      <c r="E62" s="5"/>
      <c r="F62" s="5"/>
      <c r="G62" s="5"/>
      <c r="H62" s="1"/>
    </row>
    <row r="63" spans="1:8" x14ac:dyDescent="0.3">
      <c r="A63" s="1"/>
      <c r="B63" s="5"/>
      <c r="C63" s="5"/>
      <c r="D63" s="5"/>
      <c r="E63" s="5"/>
      <c r="F63" s="5"/>
      <c r="G63" s="5"/>
      <c r="H63" s="1"/>
    </row>
    <row r="64" spans="1:8" x14ac:dyDescent="0.3">
      <c r="A64" s="1"/>
      <c r="B64" s="5"/>
      <c r="C64" s="5"/>
      <c r="D64" s="5"/>
      <c r="E64" s="5"/>
      <c r="F64" s="5"/>
      <c r="G64" s="5"/>
      <c r="H64" s="1"/>
    </row>
    <row r="65" spans="1:8" x14ac:dyDescent="0.3">
      <c r="A65" s="1"/>
      <c r="B65" s="5"/>
      <c r="C65" s="5"/>
      <c r="D65" s="5"/>
      <c r="E65" s="5"/>
      <c r="F65" s="5"/>
      <c r="G65" s="5"/>
      <c r="H65" s="1"/>
    </row>
    <row r="66" spans="1:8" x14ac:dyDescent="0.3">
      <c r="A66" s="1"/>
      <c r="B66" s="5"/>
      <c r="C66" s="5"/>
      <c r="D66" s="5"/>
      <c r="E66" s="5"/>
      <c r="F66" s="5"/>
      <c r="G66" s="5"/>
      <c r="H66" s="1"/>
    </row>
    <row r="67" spans="1:8" x14ac:dyDescent="0.3">
      <c r="A67" s="1"/>
      <c r="B67" s="5"/>
      <c r="C67" s="5"/>
      <c r="D67" s="5"/>
      <c r="E67" s="5"/>
      <c r="F67" s="5"/>
      <c r="G67" s="5"/>
      <c r="H67" s="1"/>
    </row>
    <row r="68" spans="1:8" x14ac:dyDescent="0.3">
      <c r="A68" s="1"/>
      <c r="B68" s="5"/>
      <c r="C68" s="5"/>
      <c r="D68" s="5"/>
      <c r="E68" s="5"/>
      <c r="F68" s="5"/>
      <c r="G68" s="5"/>
      <c r="H68" s="1"/>
    </row>
    <row r="69" spans="1:8" x14ac:dyDescent="0.3">
      <c r="A69" s="1"/>
      <c r="B69" s="5"/>
      <c r="C69" s="5"/>
      <c r="D69" s="5"/>
      <c r="E69" s="5"/>
      <c r="F69" s="5"/>
      <c r="G69" s="5"/>
      <c r="H69" s="1"/>
    </row>
    <row r="70" spans="1:8" x14ac:dyDescent="0.3">
      <c r="A70" s="1"/>
      <c r="B70" s="5"/>
      <c r="C70" s="5"/>
      <c r="D70" s="5"/>
      <c r="E70" s="5"/>
      <c r="F70" s="5"/>
      <c r="G70" s="5"/>
      <c r="H70" s="1"/>
    </row>
    <row r="71" spans="1:8" x14ac:dyDescent="0.3">
      <c r="A71" s="1"/>
      <c r="B71" s="5"/>
      <c r="C71" s="5"/>
      <c r="D71" s="5"/>
      <c r="E71" s="5"/>
      <c r="F71" s="5"/>
      <c r="G71" s="5"/>
      <c r="H71" s="1"/>
    </row>
    <row r="72" spans="1:8" x14ac:dyDescent="0.3">
      <c r="A72" s="1"/>
      <c r="B72" s="5"/>
      <c r="C72" s="5"/>
      <c r="D72" s="5"/>
      <c r="E72" s="5"/>
      <c r="F72" s="5"/>
      <c r="G72" s="5"/>
      <c r="H72" s="1"/>
    </row>
    <row r="73" spans="1:8" x14ac:dyDescent="0.3">
      <c r="A73" s="1"/>
      <c r="B73" s="5"/>
      <c r="C73" s="5"/>
      <c r="D73" s="5"/>
      <c r="E73" s="5"/>
      <c r="F73" s="5"/>
      <c r="G73" s="5"/>
      <c r="H73" s="1"/>
    </row>
    <row r="74" spans="1:8" x14ac:dyDescent="0.3">
      <c r="A74" s="1"/>
      <c r="B74" s="5"/>
      <c r="C74" s="5"/>
      <c r="D74" s="5"/>
      <c r="E74" s="5"/>
      <c r="F74" s="5"/>
      <c r="G74" s="5"/>
      <c r="H74" s="1"/>
    </row>
    <row r="75" spans="1:8" x14ac:dyDescent="0.3">
      <c r="A75" s="1"/>
      <c r="B75" s="5"/>
      <c r="C75" s="5"/>
      <c r="D75" s="5"/>
      <c r="E75" s="5"/>
      <c r="F75" s="5"/>
      <c r="G75" s="5"/>
      <c r="H75" s="1"/>
    </row>
    <row r="76" spans="1:8" x14ac:dyDescent="0.3">
      <c r="A76" s="1"/>
      <c r="B76" s="5"/>
      <c r="C76" s="5"/>
      <c r="D76" s="5"/>
      <c r="E76" s="5"/>
      <c r="F76" s="5"/>
      <c r="G76" s="5"/>
      <c r="H76" s="1"/>
    </row>
    <row r="77" spans="1:8" x14ac:dyDescent="0.3">
      <c r="A77" s="1"/>
      <c r="B77" s="5"/>
      <c r="C77" s="5"/>
      <c r="D77" s="5"/>
      <c r="E77" s="5"/>
      <c r="F77" s="5"/>
      <c r="G77" s="5"/>
      <c r="H77" s="1"/>
    </row>
    <row r="78" spans="1:8" x14ac:dyDescent="0.3">
      <c r="A78" s="1"/>
      <c r="B78" s="5"/>
      <c r="C78" s="5"/>
      <c r="D78" s="5"/>
      <c r="E78" s="5"/>
      <c r="F78" s="5"/>
      <c r="G78" s="5"/>
      <c r="H78" s="1"/>
    </row>
    <row r="79" spans="1:8" x14ac:dyDescent="0.3">
      <c r="A79" s="1"/>
      <c r="B79" s="5"/>
      <c r="C79" s="5"/>
      <c r="D79" s="5"/>
      <c r="E79" s="5"/>
      <c r="F79" s="5"/>
      <c r="G79" s="5"/>
      <c r="H79" s="1"/>
    </row>
    <row r="80" spans="1:8" x14ac:dyDescent="0.3">
      <c r="A80" s="1"/>
      <c r="B80" s="5"/>
      <c r="C80" s="5"/>
      <c r="D80" s="5"/>
      <c r="E80" s="5"/>
      <c r="F80" s="5"/>
      <c r="G80" s="5"/>
      <c r="H80" s="1"/>
    </row>
    <row r="81" spans="1:8" x14ac:dyDescent="0.3">
      <c r="A81" s="1"/>
      <c r="B81" s="5"/>
      <c r="C81" s="5"/>
      <c r="D81" s="5"/>
      <c r="E81" s="5"/>
      <c r="F81" s="5"/>
      <c r="G81" s="5"/>
      <c r="H81" s="1"/>
    </row>
    <row r="82" spans="1:8" x14ac:dyDescent="0.3">
      <c r="A82" s="1"/>
      <c r="B82" s="5"/>
      <c r="C82" s="5"/>
      <c r="D82" s="5"/>
      <c r="E82" s="5"/>
      <c r="F82" s="5"/>
      <c r="G82" s="5"/>
      <c r="H82" s="1"/>
    </row>
    <row r="83" spans="1:8" x14ac:dyDescent="0.3">
      <c r="A83" s="1"/>
      <c r="B83" s="5"/>
      <c r="C83" s="5"/>
      <c r="D83" s="5"/>
      <c r="E83" s="5"/>
      <c r="F83" s="5"/>
      <c r="G83" s="5"/>
      <c r="H83" s="1"/>
    </row>
    <row r="84" spans="1:8" x14ac:dyDescent="0.3">
      <c r="A84" s="1"/>
      <c r="B84" s="5"/>
      <c r="C84" s="5"/>
      <c r="D84" s="5"/>
      <c r="E84" s="5"/>
      <c r="F84" s="5"/>
      <c r="G84" s="5"/>
      <c r="H84" s="1"/>
    </row>
    <row r="85" spans="1:8" x14ac:dyDescent="0.3">
      <c r="A85" s="1"/>
      <c r="B85" s="5"/>
      <c r="C85" s="5"/>
      <c r="D85" s="5"/>
      <c r="E85" s="5"/>
      <c r="F85" s="5"/>
      <c r="G85" s="5"/>
      <c r="H85" s="1"/>
    </row>
    <row r="86" spans="1:8" x14ac:dyDescent="0.3">
      <c r="A86" s="1"/>
      <c r="B86" s="5"/>
      <c r="C86" s="5"/>
      <c r="D86" s="5"/>
      <c r="E86" s="5"/>
      <c r="F86" s="5"/>
      <c r="G86" s="5"/>
      <c r="H86" s="1"/>
    </row>
    <row r="87" spans="1:8" x14ac:dyDescent="0.3">
      <c r="A87" s="1"/>
      <c r="B87" s="5"/>
      <c r="C87" s="5"/>
      <c r="D87" s="5"/>
      <c r="E87" s="5"/>
      <c r="F87" s="5"/>
      <c r="G87" s="5"/>
      <c r="H87" s="1"/>
    </row>
    <row r="88" spans="1:8" x14ac:dyDescent="0.3">
      <c r="A88" s="1"/>
      <c r="B88" s="5"/>
      <c r="C88" s="5"/>
      <c r="D88" s="5"/>
      <c r="E88" s="5"/>
      <c r="F88" s="5"/>
      <c r="G88" s="5"/>
      <c r="H88" s="1"/>
    </row>
    <row r="89" spans="1:8" x14ac:dyDescent="0.3">
      <c r="A89" s="1"/>
      <c r="B89" s="5"/>
      <c r="C89" s="5"/>
      <c r="D89" s="5"/>
      <c r="E89" s="5"/>
      <c r="F89" s="5"/>
      <c r="G89" s="5"/>
      <c r="H89" s="1"/>
    </row>
    <row r="90" spans="1:8" x14ac:dyDescent="0.3">
      <c r="A90" s="1"/>
      <c r="B90" s="5"/>
      <c r="C90" s="5"/>
      <c r="D90" s="5"/>
      <c r="E90" s="5"/>
      <c r="F90" s="5"/>
      <c r="G90" s="5"/>
      <c r="H90" s="1"/>
    </row>
    <row r="91" spans="1:8" x14ac:dyDescent="0.3">
      <c r="A91" s="1"/>
      <c r="B91" s="5"/>
      <c r="C91" s="5"/>
      <c r="D91" s="5"/>
      <c r="E91" s="5"/>
      <c r="F91" s="5"/>
      <c r="G91" s="5"/>
      <c r="H91" s="1"/>
    </row>
    <row r="92" spans="1:8" x14ac:dyDescent="0.3">
      <c r="A92" s="1"/>
      <c r="B92" s="5"/>
      <c r="C92" s="5"/>
      <c r="D92" s="5"/>
      <c r="E92" s="5"/>
      <c r="F92" s="5"/>
      <c r="G92" s="5"/>
      <c r="H92" s="1"/>
    </row>
    <row r="93" spans="1:8" x14ac:dyDescent="0.3">
      <c r="A93" s="1"/>
      <c r="B93" s="5"/>
      <c r="C93" s="5"/>
      <c r="D93" s="5"/>
      <c r="E93" s="5"/>
      <c r="F93" s="5"/>
      <c r="G93" s="5"/>
      <c r="H93" s="1"/>
    </row>
    <row r="94" spans="1:8" x14ac:dyDescent="0.3">
      <c r="A94" s="1"/>
      <c r="B94" s="5"/>
      <c r="C94" s="5"/>
      <c r="D94" s="5"/>
      <c r="E94" s="5"/>
      <c r="F94" s="5"/>
      <c r="G94" s="5"/>
      <c r="H94" s="1"/>
    </row>
    <row r="95" spans="1:8" x14ac:dyDescent="0.3">
      <c r="A95" s="1"/>
      <c r="B95" s="5"/>
      <c r="C95" s="5"/>
      <c r="D95" s="5"/>
      <c r="E95" s="5"/>
      <c r="F95" s="5"/>
      <c r="G95" s="5"/>
      <c r="H95" s="1"/>
    </row>
    <row r="96" spans="1:8" x14ac:dyDescent="0.3">
      <c r="A96" s="1"/>
      <c r="B96" s="5"/>
      <c r="C96" s="5"/>
      <c r="D96" s="5"/>
      <c r="E96" s="5"/>
      <c r="F96" s="5"/>
      <c r="G96" s="5"/>
      <c r="H96" s="1"/>
    </row>
    <row r="97" spans="1:8" x14ac:dyDescent="0.3">
      <c r="A97" s="1"/>
      <c r="B97" s="5"/>
      <c r="C97" s="5"/>
      <c r="D97" s="5"/>
      <c r="E97" s="5"/>
      <c r="F97" s="5"/>
      <c r="G97" s="5"/>
      <c r="H97" s="1"/>
    </row>
    <row r="98" spans="1:8" x14ac:dyDescent="0.3">
      <c r="A98" s="1"/>
      <c r="B98" s="5"/>
      <c r="C98" s="5"/>
      <c r="D98" s="5"/>
      <c r="E98" s="5"/>
      <c r="F98" s="5"/>
      <c r="G98" s="5"/>
      <c r="H98" s="1"/>
    </row>
    <row r="99" spans="1:8" x14ac:dyDescent="0.3">
      <c r="A99" s="1"/>
      <c r="B99" s="5"/>
      <c r="C99" s="5"/>
      <c r="D99" s="5"/>
      <c r="E99" s="5"/>
      <c r="F99" s="5"/>
      <c r="G99" s="5"/>
      <c r="H99" s="1"/>
    </row>
    <row r="100" spans="1:8" x14ac:dyDescent="0.3">
      <c r="A100" s="1"/>
      <c r="B100" s="5"/>
      <c r="C100" s="5"/>
      <c r="D100" s="5"/>
      <c r="E100" s="5"/>
      <c r="F100" s="5"/>
      <c r="G100" s="5"/>
      <c r="H100" s="1"/>
    </row>
    <row r="101" spans="1:8" x14ac:dyDescent="0.3">
      <c r="A101" s="1"/>
      <c r="B101" s="5"/>
      <c r="C101" s="5"/>
      <c r="D101" s="5"/>
      <c r="E101" s="5"/>
      <c r="F101" s="5"/>
      <c r="G101" s="5"/>
      <c r="H101" s="1"/>
    </row>
    <row r="102" spans="1:8" x14ac:dyDescent="0.3">
      <c r="A102" s="1"/>
      <c r="B102" s="5"/>
      <c r="C102" s="5"/>
      <c r="D102" s="5"/>
      <c r="E102" s="5"/>
      <c r="F102" s="5"/>
      <c r="G102" s="5"/>
      <c r="H102" s="1"/>
    </row>
    <row r="103" spans="1:8" x14ac:dyDescent="0.3">
      <c r="A103" s="1"/>
      <c r="B103" s="5"/>
      <c r="C103" s="5"/>
      <c r="D103" s="5"/>
      <c r="E103" s="5"/>
      <c r="F103" s="5"/>
      <c r="G103" s="5"/>
      <c r="H103" s="1"/>
    </row>
    <row r="104" spans="1:8" x14ac:dyDescent="0.3">
      <c r="A104" s="1"/>
      <c r="B104" s="5"/>
      <c r="C104" s="5"/>
      <c r="D104" s="5"/>
      <c r="E104" s="5"/>
      <c r="F104" s="5"/>
      <c r="G104" s="5"/>
      <c r="H104" s="1"/>
    </row>
    <row r="105" spans="1:8" x14ac:dyDescent="0.3">
      <c r="A105" s="1"/>
      <c r="B105" s="5"/>
      <c r="C105" s="5"/>
      <c r="D105" s="5"/>
      <c r="E105" s="5"/>
      <c r="F105" s="5"/>
      <c r="G105" s="5"/>
      <c r="H105" s="1"/>
    </row>
    <row r="106" spans="1:8" x14ac:dyDescent="0.3">
      <c r="A106" s="1"/>
      <c r="B106" s="5"/>
      <c r="C106" s="5"/>
      <c r="D106" s="5"/>
      <c r="E106" s="5"/>
      <c r="F106" s="5"/>
      <c r="G106" s="5"/>
      <c r="H106" s="1"/>
    </row>
    <row r="107" spans="1:8" x14ac:dyDescent="0.3">
      <c r="A107" s="1"/>
      <c r="B107" s="5"/>
      <c r="C107" s="5"/>
      <c r="D107" s="5"/>
      <c r="E107" s="5"/>
      <c r="F107" s="5"/>
      <c r="G107" s="5"/>
      <c r="H107" s="1"/>
    </row>
    <row r="108" spans="1:8" x14ac:dyDescent="0.3">
      <c r="A108" s="1"/>
      <c r="B108" s="5"/>
      <c r="C108" s="5"/>
      <c r="D108" s="5"/>
      <c r="E108" s="5"/>
      <c r="F108" s="5"/>
      <c r="G108" s="5"/>
      <c r="H108" s="1"/>
    </row>
    <row r="109" spans="1:8" x14ac:dyDescent="0.3">
      <c r="A109" s="1"/>
      <c r="B109" s="5"/>
      <c r="C109" s="5"/>
      <c r="D109" s="5"/>
      <c r="E109" s="5"/>
      <c r="F109" s="5"/>
      <c r="G109" s="5"/>
      <c r="H109" s="1"/>
    </row>
    <row r="110" spans="1:8" x14ac:dyDescent="0.3">
      <c r="A110" s="1"/>
      <c r="B110" s="5"/>
      <c r="C110" s="5"/>
      <c r="D110" s="5"/>
      <c r="E110" s="5"/>
      <c r="F110" s="5"/>
      <c r="G110" s="5"/>
      <c r="H110" s="1"/>
    </row>
    <row r="111" spans="1:8" x14ac:dyDescent="0.3">
      <c r="A111" s="1"/>
      <c r="B111" s="5"/>
      <c r="C111" s="5"/>
      <c r="D111" s="5"/>
      <c r="E111" s="5"/>
      <c r="F111" s="5"/>
      <c r="G111" s="5"/>
      <c r="H111" s="1"/>
    </row>
    <row r="112" spans="1:8" x14ac:dyDescent="0.3">
      <c r="A112" s="1"/>
      <c r="B112" s="5"/>
      <c r="C112" s="5"/>
      <c r="D112" s="5"/>
      <c r="E112" s="5"/>
      <c r="F112" s="5"/>
      <c r="G112" s="5"/>
      <c r="H112" s="1"/>
    </row>
    <row r="113" spans="1:8" x14ac:dyDescent="0.3">
      <c r="A113" s="1"/>
      <c r="B113" s="5"/>
      <c r="C113" s="5"/>
      <c r="D113" s="5"/>
      <c r="E113" s="5"/>
      <c r="F113" s="5"/>
      <c r="G113" s="5"/>
      <c r="H113" s="1"/>
    </row>
    <row r="114" spans="1:8" x14ac:dyDescent="0.3">
      <c r="A114" s="1"/>
      <c r="B114" s="5"/>
      <c r="C114" s="5"/>
      <c r="D114" s="5"/>
      <c r="E114" s="5"/>
      <c r="F114" s="5"/>
      <c r="G114" s="5"/>
      <c r="H114" s="1"/>
    </row>
    <row r="115" spans="1:8" x14ac:dyDescent="0.3">
      <c r="A115" s="1"/>
      <c r="B115" s="5"/>
      <c r="C115" s="5"/>
      <c r="D115" s="5"/>
      <c r="E115" s="5"/>
      <c r="F115" s="5"/>
      <c r="G115" s="5"/>
      <c r="H115" s="1"/>
    </row>
    <row r="116" spans="1:8" x14ac:dyDescent="0.3">
      <c r="A116" s="1"/>
      <c r="B116" s="5"/>
      <c r="C116" s="5"/>
      <c r="D116" s="5"/>
      <c r="E116" s="5"/>
      <c r="F116" s="5"/>
      <c r="G116" s="5"/>
      <c r="H116" s="1"/>
    </row>
    <row r="117" spans="1:8" x14ac:dyDescent="0.3">
      <c r="A117" s="1"/>
      <c r="B117" s="5"/>
      <c r="C117" s="5"/>
      <c r="D117" s="5"/>
      <c r="E117" s="5"/>
      <c r="F117" s="5"/>
      <c r="G117" s="5"/>
      <c r="H117" s="1"/>
    </row>
    <row r="118" spans="1:8" x14ac:dyDescent="0.3">
      <c r="A118" s="1"/>
      <c r="B118" s="5"/>
      <c r="C118" s="5"/>
      <c r="D118" s="5"/>
      <c r="E118" s="5"/>
      <c r="F118" s="5"/>
      <c r="G118" s="5"/>
      <c r="H118" s="1"/>
    </row>
    <row r="119" spans="1:8" x14ac:dyDescent="0.3">
      <c r="A119" s="1"/>
      <c r="B119" s="5"/>
      <c r="C119" s="5"/>
      <c r="D119" s="5"/>
      <c r="E119" s="5"/>
      <c r="F119" s="5"/>
      <c r="G119" s="5"/>
      <c r="H119" s="1"/>
    </row>
    <row r="120" spans="1:8" x14ac:dyDescent="0.3">
      <c r="A120" s="1"/>
      <c r="B120" s="5"/>
      <c r="C120" s="5"/>
      <c r="D120" s="5"/>
      <c r="E120" s="5"/>
      <c r="F120" s="5"/>
      <c r="G120" s="5"/>
      <c r="H120" s="1"/>
    </row>
    <row r="121" spans="1:8" x14ac:dyDescent="0.3">
      <c r="A121" s="1"/>
      <c r="B121" s="5"/>
      <c r="C121" s="5"/>
      <c r="D121" s="5"/>
      <c r="E121" s="5"/>
      <c r="F121" s="5"/>
      <c r="G121" s="5"/>
      <c r="H121" s="1"/>
    </row>
    <row r="122" spans="1:8" x14ac:dyDescent="0.3">
      <c r="A122" s="1"/>
      <c r="B122" s="5"/>
      <c r="C122" s="5"/>
      <c r="D122" s="5"/>
      <c r="E122" s="5"/>
      <c r="F122" s="5"/>
      <c r="G122" s="5"/>
      <c r="H122" s="1"/>
    </row>
    <row r="123" spans="1:8" x14ac:dyDescent="0.3">
      <c r="A123" s="1"/>
      <c r="B123" s="5"/>
      <c r="C123" s="5"/>
      <c r="D123" s="5"/>
      <c r="E123" s="5"/>
      <c r="F123" s="5"/>
      <c r="G123" s="5"/>
      <c r="H123" s="1"/>
    </row>
    <row r="124" spans="1:8" x14ac:dyDescent="0.3">
      <c r="A124" s="1"/>
      <c r="B124" s="5"/>
      <c r="C124" s="5"/>
      <c r="D124" s="5"/>
      <c r="E124" s="5"/>
      <c r="F124" s="5"/>
      <c r="G124" s="5"/>
      <c r="H124" s="1"/>
    </row>
    <row r="125" spans="1:8" x14ac:dyDescent="0.3">
      <c r="A125" s="1"/>
      <c r="B125" s="5"/>
      <c r="C125" s="5"/>
      <c r="D125" s="5"/>
      <c r="E125" s="5"/>
      <c r="F125" s="5"/>
      <c r="G125" s="5"/>
      <c r="H125" s="1"/>
    </row>
    <row r="126" spans="1:8" x14ac:dyDescent="0.3">
      <c r="A126" s="1"/>
      <c r="B126" s="5"/>
      <c r="C126" s="5"/>
      <c r="D126" s="5"/>
      <c r="E126" s="5"/>
      <c r="F126" s="5"/>
      <c r="G126" s="5"/>
      <c r="H126" s="1"/>
    </row>
    <row r="127" spans="1:8" x14ac:dyDescent="0.3">
      <c r="A127" s="1"/>
      <c r="B127" s="5"/>
      <c r="C127" s="5"/>
      <c r="D127" s="5"/>
      <c r="E127" s="5"/>
      <c r="F127" s="5"/>
      <c r="G127" s="5"/>
      <c r="H127" s="1"/>
    </row>
    <row r="128" spans="1:8" x14ac:dyDescent="0.3">
      <c r="A128" s="1"/>
      <c r="B128" s="5"/>
      <c r="C128" s="5"/>
      <c r="D128" s="5"/>
      <c r="E128" s="5"/>
      <c r="F128" s="5"/>
      <c r="G128" s="5"/>
      <c r="H128" s="1"/>
    </row>
    <row r="129" spans="1:8" x14ac:dyDescent="0.3">
      <c r="A129" s="1"/>
      <c r="B129" s="5"/>
      <c r="C129" s="5"/>
      <c r="D129" s="5"/>
      <c r="E129" s="5"/>
      <c r="F129" s="5"/>
      <c r="G129" s="5"/>
      <c r="H129" s="1"/>
    </row>
    <row r="130" spans="1:8" x14ac:dyDescent="0.3">
      <c r="A130" s="1"/>
      <c r="B130" s="5"/>
      <c r="C130" s="5"/>
      <c r="D130" s="5"/>
      <c r="E130" s="5"/>
      <c r="F130" s="5"/>
      <c r="G130" s="5"/>
      <c r="H130" s="1"/>
    </row>
    <row r="131" spans="1:8" x14ac:dyDescent="0.3">
      <c r="A131" s="1"/>
      <c r="B131" s="5"/>
      <c r="C131" s="5"/>
      <c r="D131" s="5"/>
      <c r="E131" s="5"/>
      <c r="F131" s="5"/>
      <c r="G131" s="5"/>
      <c r="H131" s="1"/>
    </row>
    <row r="132" spans="1:8" x14ac:dyDescent="0.3">
      <c r="A132" s="1"/>
      <c r="B132" s="5"/>
      <c r="C132" s="5"/>
      <c r="D132" s="5"/>
      <c r="E132" s="5"/>
      <c r="F132" s="5"/>
      <c r="G132" s="5"/>
      <c r="H132" s="1"/>
    </row>
    <row r="133" spans="1:8" x14ac:dyDescent="0.3">
      <c r="A133" s="1"/>
      <c r="B133" s="5"/>
      <c r="C133" s="5"/>
      <c r="D133" s="5"/>
      <c r="E133" s="5"/>
      <c r="F133" s="5"/>
      <c r="G133" s="5"/>
      <c r="H133" s="1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9909-2AC2-463E-8BA9-E1D1E493A140}">
  <dimension ref="A1:D6"/>
  <sheetViews>
    <sheetView workbookViewId="0">
      <selection activeCell="C4" sqref="C4"/>
    </sheetView>
  </sheetViews>
  <sheetFormatPr baseColWidth="10" defaultRowHeight="16.5" x14ac:dyDescent="0.3"/>
  <cols>
    <col min="1" max="1" width="16.875" customWidth="1"/>
    <col min="2" max="2" width="11.5" customWidth="1"/>
    <col min="3" max="3" width="13.25" customWidth="1"/>
  </cols>
  <sheetData>
    <row r="1" spans="1:4" x14ac:dyDescent="0.3">
      <c r="A1" s="17" t="s">
        <v>15</v>
      </c>
      <c r="B1" s="17"/>
      <c r="C1" s="17"/>
      <c r="D1" s="4"/>
    </row>
    <row r="2" spans="1:4" x14ac:dyDescent="0.3">
      <c r="A2" s="19" t="s">
        <v>29</v>
      </c>
      <c r="B2" s="19"/>
      <c r="C2" s="19"/>
      <c r="D2" s="4"/>
    </row>
    <row r="3" spans="1:4" x14ac:dyDescent="0.3">
      <c r="A3" s="4"/>
      <c r="B3" s="4"/>
      <c r="C3" s="4"/>
      <c r="D3" s="4"/>
    </row>
    <row r="4" spans="1:4" x14ac:dyDescent="0.3">
      <c r="A4" s="9" t="s">
        <v>28</v>
      </c>
      <c r="B4" s="4">
        <f>'SEC=5.0,6.0'!C6</f>
        <v>5.7064181527107776</v>
      </c>
      <c r="C4" s="14">
        <f>'SEC=5.0,6.0'!G6</f>
        <v>1.5550627807670026E-7</v>
      </c>
      <c r="D4" s="4"/>
    </row>
    <row r="5" spans="1:4" x14ac:dyDescent="0.3">
      <c r="A5" s="9" t="s">
        <v>11</v>
      </c>
      <c r="B5" s="4">
        <f>COUNTIF('SEC=5.0,6.0'!H3:H6,"→")+1</f>
        <v>4</v>
      </c>
      <c r="C5" s="4"/>
      <c r="D5" s="4"/>
    </row>
    <row r="6" spans="1:4" x14ac:dyDescent="0.3">
      <c r="A6" s="4"/>
      <c r="B6" s="4"/>
      <c r="C6" s="4"/>
      <c r="D6" s="4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CONFIG</vt:lpstr>
      <vt:lpstr>RAÍZ</vt:lpstr>
      <vt:lpstr>RESULTADOS</vt:lpstr>
      <vt:lpstr>NEWTON=5.5</vt:lpstr>
      <vt:lpstr>RESULTADOS (2)</vt:lpstr>
      <vt:lpstr>SEC=5.0,6.0</vt:lpstr>
      <vt:lpstr>RESULTADOS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Nicole_Perez</dc:creator>
  <cp:lastModifiedBy>Nicole_Perez</cp:lastModifiedBy>
  <dcterms:created xsi:type="dcterms:W3CDTF">2025-11-29T16:06:55Z</dcterms:created>
  <dcterms:modified xsi:type="dcterms:W3CDTF">2025-11-30T01:04:53Z</dcterms:modified>
</cp:coreProperties>
</file>