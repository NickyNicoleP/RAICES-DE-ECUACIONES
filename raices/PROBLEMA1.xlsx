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icole_Perez\Documents\metodos\raices\MÉTODO_BISECCIÓN\"/>
    </mc:Choice>
  </mc:AlternateContent>
  <xr:revisionPtr revIDLastSave="0" documentId="13_ncr:1_{219AA2D7-256A-4FCD-A88C-20379F1DA0CA}" xr6:coauthVersionLast="47" xr6:coauthVersionMax="47" xr10:uidLastSave="{00000000-0000-0000-0000-000000000000}"/>
  <bookViews>
    <workbookView xWindow="14400" yWindow="0" windowWidth="14400" windowHeight="15600" xr2:uid="{65C2803D-6914-4A81-A4F2-DF31DBF10844}"/>
  </bookViews>
  <sheets>
    <sheet name="CONFIG" sheetId="1" r:id="rId1"/>
    <sheet name="RAÍZ 1" sheetId="2" r:id="rId2"/>
    <sheet name="RAÍZ 2" sheetId="3" r:id="rId3"/>
    <sheet name="RESULTADOS" sheetId="4" r:id="rId4"/>
    <sheet name="Newton=3.5" sheetId="5" r:id="rId5"/>
    <sheet name="Newton=7.5" sheetId="6" r:id="rId6"/>
    <sheet name="RESULTADOS (2)" sheetId="7" r:id="rId7"/>
    <sheet name="SEC=3.0,4.0" sheetId="8" r:id="rId8"/>
    <sheet name="SEC=7.0,8.0" sheetId="9" r:id="rId9"/>
    <sheet name="RESULTADOS (3)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32" i="1"/>
  <c r="B29" i="1"/>
  <c r="C31" i="1"/>
  <c r="B31" i="1"/>
  <c r="C28" i="1"/>
  <c r="B28" i="1"/>
  <c r="C24" i="1"/>
  <c r="B24" i="1"/>
  <c r="C21" i="1"/>
  <c r="B21" i="1"/>
  <c r="C17" i="1"/>
  <c r="B17" i="1"/>
  <c r="C14" i="1"/>
  <c r="H4" i="9"/>
  <c r="H5" i="9"/>
  <c r="H6" i="9"/>
  <c r="H7" i="9"/>
  <c r="H8" i="9"/>
  <c r="H9" i="9"/>
  <c r="H10" i="9"/>
  <c r="H11" i="9"/>
  <c r="H3" i="9"/>
  <c r="H4" i="8"/>
  <c r="H5" i="8"/>
  <c r="H6" i="8"/>
  <c r="H7" i="8"/>
  <c r="H8" i="8"/>
  <c r="H3" i="8"/>
  <c r="G4" i="6"/>
  <c r="B25" i="1" s="1"/>
  <c r="G5" i="6"/>
  <c r="G6" i="6"/>
  <c r="G3" i="6"/>
  <c r="G4" i="5"/>
  <c r="G5" i="5"/>
  <c r="G6" i="5"/>
  <c r="G7" i="5"/>
  <c r="G3" i="5"/>
  <c r="B22" i="1" s="1"/>
  <c r="B7" i="7"/>
  <c r="C7" i="7"/>
  <c r="D3" i="9"/>
  <c r="E3" i="9"/>
  <c r="F3" i="9" s="1"/>
  <c r="A4" i="9"/>
  <c r="A5" i="9" s="1"/>
  <c r="A6" i="9" s="1"/>
  <c r="A7" i="9" s="1"/>
  <c r="A8" i="9" s="1"/>
  <c r="A9" i="9" s="1"/>
  <c r="A10" i="9" s="1"/>
  <c r="A11" i="9" s="1"/>
  <c r="B4" i="9"/>
  <c r="D3" i="8"/>
  <c r="E3" i="8"/>
  <c r="D4" i="8" s="1"/>
  <c r="A4" i="8"/>
  <c r="B4" i="8"/>
  <c r="A5" i="8"/>
  <c r="A6" i="8" s="1"/>
  <c r="A7" i="8" s="1"/>
  <c r="A8" i="8" s="1"/>
  <c r="D4" i="9" l="1"/>
  <c r="G3" i="9"/>
  <c r="C4" i="9"/>
  <c r="F3" i="8"/>
  <c r="E4" i="9" l="1"/>
  <c r="D5" i="9" s="1"/>
  <c r="B5" i="9"/>
  <c r="G3" i="8"/>
  <c r="C4" i="8"/>
  <c r="F4" i="9" l="1"/>
  <c r="G4" i="9"/>
  <c r="C5" i="9"/>
  <c r="E4" i="8"/>
  <c r="D5" i="8" s="1"/>
  <c r="B5" i="8"/>
  <c r="F4" i="8" l="1"/>
  <c r="E5" i="9"/>
  <c r="D6" i="9" s="1"/>
  <c r="B6" i="9"/>
  <c r="G4" i="8"/>
  <c r="C5" i="8"/>
  <c r="F5" i="9" l="1"/>
  <c r="G5" i="9"/>
  <c r="C6" i="9"/>
  <c r="E5" i="8"/>
  <c r="D6" i="8" s="1"/>
  <c r="B6" i="8"/>
  <c r="E6" i="9" l="1"/>
  <c r="D7" i="9" s="1"/>
  <c r="B7" i="9"/>
  <c r="F5" i="8"/>
  <c r="F6" i="9" l="1"/>
  <c r="G6" i="9"/>
  <c r="C7" i="9"/>
  <c r="G5" i="8"/>
  <c r="C6" i="8"/>
  <c r="E7" i="9" l="1"/>
  <c r="D8" i="9" s="1"/>
  <c r="F7" i="9"/>
  <c r="B8" i="9"/>
  <c r="E6" i="8"/>
  <c r="D7" i="8" s="1"/>
  <c r="B7" i="8"/>
  <c r="F6" i="8" l="1"/>
  <c r="G7" i="9"/>
  <c r="C8" i="9"/>
  <c r="G6" i="8"/>
  <c r="C7" i="8"/>
  <c r="B4" i="10" s="1"/>
  <c r="E8" i="9" l="1"/>
  <c r="D9" i="9" s="1"/>
  <c r="B9" i="9"/>
  <c r="E7" i="8"/>
  <c r="D8" i="8" s="1"/>
  <c r="B8" i="8"/>
  <c r="F8" i="9" l="1"/>
  <c r="F7" i="8"/>
  <c r="G8" i="9" l="1"/>
  <c r="C9" i="9"/>
  <c r="B7" i="10" s="1"/>
  <c r="G7" i="8"/>
  <c r="C4" i="10" s="1"/>
  <c r="C8" i="8"/>
  <c r="E9" i="9" l="1"/>
  <c r="D10" i="9" s="1"/>
  <c r="F9" i="9"/>
  <c r="B10" i="9"/>
  <c r="E8" i="8"/>
  <c r="F8" i="8" s="1"/>
  <c r="G9" i="9" l="1"/>
  <c r="C7" i="10" s="1"/>
  <c r="C10" i="9"/>
  <c r="G8" i="8"/>
  <c r="B5" i="10"/>
  <c r="E10" i="9" l="1"/>
  <c r="D11" i="9" s="1"/>
  <c r="B11" i="9"/>
  <c r="B4" i="7"/>
  <c r="C3" i="6"/>
  <c r="E3" i="6" s="1"/>
  <c r="D3" i="6"/>
  <c r="A4" i="6"/>
  <c r="A5" i="6" s="1"/>
  <c r="A6" i="6" s="1"/>
  <c r="C3" i="5"/>
  <c r="E3" i="5" s="1"/>
  <c r="F3" i="5" s="1"/>
  <c r="D3" i="5"/>
  <c r="A4" i="5"/>
  <c r="A5" i="5" s="1"/>
  <c r="A6" i="5" s="1"/>
  <c r="A7" i="5" s="1"/>
  <c r="F10" i="9" l="1"/>
  <c r="B4" i="6"/>
  <c r="F3" i="6"/>
  <c r="C4" i="6"/>
  <c r="E4" i="6" s="1"/>
  <c r="D4" i="6"/>
  <c r="B4" i="5"/>
  <c r="G10" i="9" l="1"/>
  <c r="C11" i="9"/>
  <c r="B5" i="6"/>
  <c r="F4" i="6"/>
  <c r="D4" i="5"/>
  <c r="C4" i="5"/>
  <c r="E11" i="9" l="1"/>
  <c r="F11" i="9" s="1"/>
  <c r="C5" i="6"/>
  <c r="E5" i="6" s="1"/>
  <c r="D5" i="6"/>
  <c r="E4" i="5"/>
  <c r="G11" i="9" l="1"/>
  <c r="B8" i="10"/>
  <c r="F5" i="6"/>
  <c r="B6" i="6"/>
  <c r="B8" i="7"/>
  <c r="B5" i="5"/>
  <c r="F4" i="5"/>
  <c r="C6" i="6" l="1"/>
  <c r="D6" i="6"/>
  <c r="E6" i="6" s="1"/>
  <c r="F6" i="6" s="1"/>
  <c r="C5" i="5"/>
  <c r="D5" i="5"/>
  <c r="E5" i="5" l="1"/>
  <c r="B6" i="5"/>
  <c r="F5" i="5"/>
  <c r="C6" i="5" l="1"/>
  <c r="D6" i="5"/>
  <c r="E6" i="5" s="1"/>
  <c r="B7" i="5" l="1"/>
  <c r="F6" i="5"/>
  <c r="C4" i="7" s="1"/>
  <c r="C7" i="5" l="1"/>
  <c r="D7" i="5"/>
  <c r="E7" i="5" l="1"/>
  <c r="F7" i="5" s="1"/>
  <c r="B5" i="7"/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4" i="3"/>
  <c r="G3" i="3"/>
  <c r="E3" i="3"/>
  <c r="D3" i="3"/>
  <c r="F3" i="3" s="1"/>
  <c r="H3" i="3" s="1"/>
  <c r="E3" i="2"/>
  <c r="B4" i="2" s="1"/>
  <c r="D3" i="2"/>
  <c r="F3" i="2" s="1"/>
  <c r="H3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4" i="2"/>
  <c r="G3" i="2"/>
  <c r="C4" i="3" l="1"/>
  <c r="B4" i="3"/>
  <c r="C4" i="2"/>
  <c r="E4" i="2"/>
  <c r="D4" i="3" l="1"/>
  <c r="F4" i="3" s="1"/>
  <c r="E4" i="3"/>
  <c r="G4" i="3"/>
  <c r="G4" i="2"/>
  <c r="D4" i="2"/>
  <c r="F4" i="2" s="1"/>
  <c r="B5" i="3" l="1"/>
  <c r="C5" i="3"/>
  <c r="G5" i="3" s="1"/>
  <c r="H4" i="3"/>
  <c r="C5" i="2"/>
  <c r="H4" i="2"/>
  <c r="B5" i="2"/>
  <c r="E5" i="2" s="1"/>
  <c r="D5" i="3" l="1"/>
  <c r="F5" i="3" s="1"/>
  <c r="H5" i="3" s="1"/>
  <c r="E5" i="3"/>
  <c r="G5" i="2"/>
  <c r="D5" i="2"/>
  <c r="F5" i="2" s="1"/>
  <c r="H5" i="2" s="1"/>
  <c r="C6" i="3" l="1"/>
  <c r="B6" i="3"/>
  <c r="C6" i="2"/>
  <c r="B6" i="2"/>
  <c r="E6" i="2" s="1"/>
  <c r="E6" i="3" l="1"/>
  <c r="D6" i="3"/>
  <c r="F6" i="3" s="1"/>
  <c r="G6" i="3"/>
  <c r="G6" i="2"/>
  <c r="D6" i="2"/>
  <c r="F6" i="2" s="1"/>
  <c r="H6" i="2" s="1"/>
  <c r="H6" i="3" l="1"/>
  <c r="B7" i="3"/>
  <c r="C7" i="3"/>
  <c r="G7" i="3" s="1"/>
  <c r="C7" i="2"/>
  <c r="B7" i="2"/>
  <c r="D7" i="3" l="1"/>
  <c r="F7" i="3" s="1"/>
  <c r="H7" i="3" s="1"/>
  <c r="E7" i="3"/>
  <c r="D7" i="2"/>
  <c r="F7" i="2" s="1"/>
  <c r="G7" i="2"/>
  <c r="E7" i="2"/>
  <c r="B8" i="2" s="1"/>
  <c r="B8" i="3" l="1"/>
  <c r="C8" i="3"/>
  <c r="G8" i="3" s="1"/>
  <c r="H7" i="2"/>
  <c r="C8" i="2"/>
  <c r="G8" i="2" s="1"/>
  <c r="E8" i="2"/>
  <c r="D8" i="3" l="1"/>
  <c r="F8" i="3" s="1"/>
  <c r="H8" i="3" s="1"/>
  <c r="E8" i="3"/>
  <c r="D8" i="2"/>
  <c r="F8" i="2" s="1"/>
  <c r="H8" i="2" s="1"/>
  <c r="C9" i="3" l="1"/>
  <c r="B9" i="3"/>
  <c r="C9" i="2"/>
  <c r="B9" i="2"/>
  <c r="E9" i="2" s="1"/>
  <c r="E9" i="3" l="1"/>
  <c r="D9" i="3"/>
  <c r="F9" i="3" s="1"/>
  <c r="H9" i="3" s="1"/>
  <c r="G9" i="3"/>
  <c r="D9" i="2"/>
  <c r="F9" i="2" s="1"/>
  <c r="G9" i="2"/>
  <c r="B10" i="3" l="1"/>
  <c r="C10" i="3"/>
  <c r="G10" i="3" s="1"/>
  <c r="B10" i="2"/>
  <c r="E10" i="2" s="1"/>
  <c r="H9" i="2"/>
  <c r="C10" i="2"/>
  <c r="D10" i="3" l="1"/>
  <c r="F10" i="3" s="1"/>
  <c r="H10" i="3" s="1"/>
  <c r="E10" i="3"/>
  <c r="G10" i="2"/>
  <c r="D10" i="2"/>
  <c r="F10" i="2" s="1"/>
  <c r="C11" i="3" l="1"/>
  <c r="B11" i="3"/>
  <c r="H10" i="2"/>
  <c r="C11" i="2"/>
  <c r="B11" i="2"/>
  <c r="G11" i="2" s="1"/>
  <c r="D11" i="3" l="1"/>
  <c r="F11" i="3" s="1"/>
  <c r="E11" i="3"/>
  <c r="G11" i="3"/>
  <c r="D11" i="2"/>
  <c r="F11" i="2" s="1"/>
  <c r="E11" i="2"/>
  <c r="B12" i="3" l="1"/>
  <c r="C12" i="3"/>
  <c r="G12" i="3" s="1"/>
  <c r="H11" i="3"/>
  <c r="C12" i="2"/>
  <c r="H11" i="2"/>
  <c r="B12" i="2"/>
  <c r="E12" i="3" l="1"/>
  <c r="D12" i="3"/>
  <c r="F12" i="3" s="1"/>
  <c r="H12" i="3" s="1"/>
  <c r="G12" i="2"/>
  <c r="E12" i="2"/>
  <c r="D12" i="2"/>
  <c r="F12" i="2" s="1"/>
  <c r="C13" i="3" l="1"/>
  <c r="B13" i="3"/>
  <c r="H12" i="2"/>
  <c r="C13" i="2"/>
  <c r="B13" i="2"/>
  <c r="G13" i="2" s="1"/>
  <c r="D13" i="3" l="1"/>
  <c r="F13" i="3" s="1"/>
  <c r="E13" i="3"/>
  <c r="G13" i="3"/>
  <c r="E13" i="2"/>
  <c r="D13" i="2"/>
  <c r="F13" i="2" s="1"/>
  <c r="H13" i="2" s="1"/>
  <c r="C14" i="3" l="1"/>
  <c r="B14" i="3"/>
  <c r="H13" i="3"/>
  <c r="C14" i="2"/>
  <c r="B14" i="2"/>
  <c r="E14" i="2"/>
  <c r="E14" i="3" l="1"/>
  <c r="D14" i="3"/>
  <c r="F14" i="3" s="1"/>
  <c r="H14" i="3" s="1"/>
  <c r="G14" i="3"/>
  <c r="D14" i="2"/>
  <c r="F14" i="2" s="1"/>
  <c r="G14" i="2"/>
  <c r="H14" i="2" s="1"/>
  <c r="B15" i="2"/>
  <c r="C15" i="2"/>
  <c r="C15" i="3" l="1"/>
  <c r="B15" i="3"/>
  <c r="G15" i="2"/>
  <c r="D15" i="2"/>
  <c r="F15" i="2" s="1"/>
  <c r="H15" i="2" s="1"/>
  <c r="E15" i="2"/>
  <c r="D15" i="3" l="1"/>
  <c r="F15" i="3" s="1"/>
  <c r="E15" i="3"/>
  <c r="G15" i="3"/>
  <c r="C16" i="2"/>
  <c r="B16" i="2"/>
  <c r="C16" i="3" l="1"/>
  <c r="B16" i="3"/>
  <c r="H15" i="3"/>
  <c r="E16" i="2"/>
  <c r="D16" i="2"/>
  <c r="F16" i="2" s="1"/>
  <c r="H16" i="2" s="1"/>
  <c r="G16" i="2"/>
  <c r="D16" i="3" l="1"/>
  <c r="F16" i="3" s="1"/>
  <c r="E16" i="3"/>
  <c r="G16" i="3"/>
  <c r="C17" i="2"/>
  <c r="B17" i="2"/>
  <c r="C17" i="3" l="1"/>
  <c r="B17" i="3"/>
  <c r="H16" i="3"/>
  <c r="D17" i="2"/>
  <c r="F17" i="2" s="1"/>
  <c r="E17" i="2"/>
  <c r="G17" i="2"/>
  <c r="D17" i="3" l="1"/>
  <c r="F17" i="3" s="1"/>
  <c r="E17" i="3"/>
  <c r="G17" i="3"/>
  <c r="H17" i="2"/>
  <c r="B18" i="2"/>
  <c r="C18" i="2"/>
  <c r="C18" i="3" l="1"/>
  <c r="B18" i="3"/>
  <c r="H17" i="3"/>
  <c r="G18" i="2"/>
  <c r="D18" i="2"/>
  <c r="F18" i="2" s="1"/>
  <c r="H18" i="2" s="1"/>
  <c r="E18" i="2"/>
  <c r="D18" i="3" l="1"/>
  <c r="F18" i="3" s="1"/>
  <c r="E18" i="3"/>
  <c r="G18" i="3"/>
  <c r="B19" i="2"/>
  <c r="C19" i="2"/>
  <c r="G19" i="2" s="1"/>
  <c r="C19" i="3" l="1"/>
  <c r="B19" i="3"/>
  <c r="H18" i="3"/>
  <c r="D19" i="2"/>
  <c r="F19" i="2" s="1"/>
  <c r="H19" i="2" s="1"/>
  <c r="E19" i="2"/>
  <c r="D19" i="3" l="1"/>
  <c r="F19" i="3" s="1"/>
  <c r="E19" i="3"/>
  <c r="G19" i="3"/>
  <c r="C20" i="2"/>
  <c r="B20" i="2"/>
  <c r="B20" i="3" l="1"/>
  <c r="C20" i="3"/>
  <c r="G20" i="3" s="1"/>
  <c r="H19" i="3"/>
  <c r="E20" i="2"/>
  <c r="D20" i="2"/>
  <c r="F20" i="2" s="1"/>
  <c r="G20" i="2"/>
  <c r="D20" i="3" l="1"/>
  <c r="F20" i="3" s="1"/>
  <c r="H20" i="3" s="1"/>
  <c r="E20" i="3"/>
  <c r="H20" i="2"/>
  <c r="B21" i="2"/>
  <c r="C21" i="2"/>
  <c r="G21" i="2" s="1"/>
  <c r="C21" i="3" l="1"/>
  <c r="B21" i="3"/>
  <c r="D21" i="2"/>
  <c r="F21" i="2" s="1"/>
  <c r="H21" i="2" s="1"/>
  <c r="E21" i="2"/>
  <c r="D21" i="3" l="1"/>
  <c r="F21" i="3" s="1"/>
  <c r="E21" i="3"/>
  <c r="G21" i="3"/>
  <c r="C22" i="2"/>
  <c r="B22" i="2"/>
  <c r="C22" i="3" l="1"/>
  <c r="B22" i="3"/>
  <c r="H21" i="3"/>
  <c r="D22" i="2"/>
  <c r="E22" i="2"/>
  <c r="G22" i="2"/>
  <c r="D22" i="3" l="1"/>
  <c r="E22" i="3"/>
  <c r="G22" i="3"/>
  <c r="F22" i="2"/>
  <c r="B4" i="4"/>
  <c r="C23" i="2"/>
  <c r="B23" i="2"/>
  <c r="F22" i="3" l="1"/>
  <c r="B7" i="4"/>
  <c r="H22" i="2"/>
  <c r="B5" i="4" s="1"/>
  <c r="C4" i="4"/>
  <c r="D23" i="2"/>
  <c r="F23" i="2" s="1"/>
  <c r="E23" i="2"/>
  <c r="G23" i="2"/>
  <c r="C7" i="4" l="1"/>
  <c r="H22" i="3"/>
  <c r="B8" i="4" s="1"/>
  <c r="B23" i="3"/>
  <c r="C23" i="3"/>
  <c r="H23" i="2"/>
  <c r="B15" i="1" s="1"/>
  <c r="G23" i="3" l="1"/>
  <c r="D23" i="3"/>
  <c r="F23" i="3" s="1"/>
  <c r="H23" i="3" s="1"/>
  <c r="B18" i="1" s="1"/>
  <c r="E23" i="3"/>
</calcChain>
</file>

<file path=xl/sharedStrings.xml><?xml version="1.0" encoding="utf-8"?>
<sst xmlns="http://schemas.openxmlformats.org/spreadsheetml/2006/main" count="97" uniqueCount="37">
  <si>
    <t>MÉTODO DE BISCECCIÓN - PROBLEMA 1</t>
  </si>
  <si>
    <t>Ecuación: x³ - e^(0.8x) = 20</t>
  </si>
  <si>
    <t>PARÁMETROS:</t>
  </si>
  <si>
    <t>Tolerancia (TOL):</t>
  </si>
  <si>
    <t>Máx iteraciones:</t>
  </si>
  <si>
    <t>ITER</t>
  </si>
  <si>
    <t>a</t>
  </si>
  <si>
    <t>b</t>
  </si>
  <si>
    <t>c</t>
  </si>
  <si>
    <t>f(a)</t>
  </si>
  <si>
    <t>Error</t>
  </si>
  <si>
    <t>¿Parar?</t>
  </si>
  <si>
    <t>f(c)</t>
  </si>
  <si>
    <t>RESULTADOS PROBLEMA 1</t>
  </si>
  <si>
    <t>RAÍZ 1:</t>
  </si>
  <si>
    <t>Iteraciones:</t>
  </si>
  <si>
    <t>RAÍZ 2:</t>
  </si>
  <si>
    <t xml:space="preserve">RAÍZ 1: </t>
  </si>
  <si>
    <t>Intervalo [3.0, 4.0]</t>
  </si>
  <si>
    <t xml:space="preserve">RAÍZ 2: </t>
  </si>
  <si>
    <t>Intervalo [7.0, 8.0]</t>
  </si>
  <si>
    <t>x_n+1</t>
  </si>
  <si>
    <t>f'(x_n)</t>
  </si>
  <si>
    <t>f(x_n)</t>
  </si>
  <si>
    <t>x_n</t>
  </si>
  <si>
    <t>NEWTON x₀=7.5</t>
  </si>
  <si>
    <t>NEWTON x₀=3.5</t>
  </si>
  <si>
    <t>MÉTODO NEWTON RAPHSON</t>
  </si>
  <si>
    <t>MÉTODO BISECCIÓN</t>
  </si>
  <si>
    <t>f(x_n-1)</t>
  </si>
  <si>
    <t>x_n-1</t>
  </si>
  <si>
    <t>MÉTODO DE LA SECANTE</t>
  </si>
  <si>
    <t>MÉTODO BISCECCIÓN</t>
  </si>
  <si>
    <t>MÉTODO DE BISCECCIÓN</t>
  </si>
  <si>
    <t>RESULTADOS FINALES</t>
  </si>
  <si>
    <t>Raíz</t>
  </si>
  <si>
    <t>METODO DE LA BISCECCIÓN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</si>
</sst>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1" fontId="2" fillId="0" borderId="0" xfId="0" applyNumberFormat="1" applyFont="1" applyAlignment="1">
      <alignment horizontal="left" vertical="center" indent="1"/>
    </xf>
    <xf numFmtId="11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la de reuniones Ion">
  <a:themeElements>
    <a:clrScheme name="Sala de reuniones Ion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Sala de reuniones 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ala de reuniones 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BB83-8B0A-4812-9804-F2030B7DF816}">
  <dimension ref="A1:E33"/>
  <sheetViews>
    <sheetView tabSelected="1" topLeftCell="A10" workbookViewId="0">
      <selection activeCell="C34" sqref="C34"/>
    </sheetView>
  </sheetViews>
  <sheetFormatPr baseColWidth="10" defaultRowHeight="16.5" x14ac:dyDescent="0.3"/>
  <cols>
    <col min="1" max="1" width="30.25" customWidth="1"/>
    <col min="3" max="3" width="12" bestFit="1" customWidth="1"/>
  </cols>
  <sheetData>
    <row r="1" spans="1:5" x14ac:dyDescent="0.3">
      <c r="A1" s="15" t="s">
        <v>0</v>
      </c>
      <c r="B1" s="15"/>
      <c r="C1" s="15"/>
      <c r="D1" s="15"/>
      <c r="E1" s="15"/>
    </row>
    <row r="2" spans="1:5" x14ac:dyDescent="0.3">
      <c r="A2" s="15" t="s">
        <v>1</v>
      </c>
      <c r="B2" s="15"/>
      <c r="C2" s="15"/>
      <c r="D2" s="15"/>
      <c r="E2" s="3"/>
    </row>
    <row r="3" spans="1:5" x14ac:dyDescent="0.3">
      <c r="A3" s="2"/>
      <c r="B3" s="2"/>
      <c r="C3" s="2"/>
      <c r="D3" s="2"/>
    </row>
    <row r="4" spans="1:5" x14ac:dyDescent="0.3">
      <c r="A4" s="15" t="s">
        <v>2</v>
      </c>
      <c r="B4" s="15"/>
      <c r="C4" s="15"/>
      <c r="D4" s="2"/>
    </row>
    <row r="5" spans="1:5" x14ac:dyDescent="0.3">
      <c r="A5" s="7" t="s">
        <v>3</v>
      </c>
      <c r="B5" s="2">
        <v>9.9999999999999995E-7</v>
      </c>
      <c r="D5" s="2"/>
    </row>
    <row r="6" spans="1:5" x14ac:dyDescent="0.3">
      <c r="A6" s="7" t="s">
        <v>4</v>
      </c>
      <c r="B6" s="2">
        <v>20</v>
      </c>
      <c r="D6" s="2"/>
    </row>
    <row r="7" spans="1:5" x14ac:dyDescent="0.3">
      <c r="A7" s="2"/>
      <c r="B7" s="2"/>
      <c r="C7" s="2"/>
      <c r="D7" s="2"/>
    </row>
    <row r="8" spans="1:5" x14ac:dyDescent="0.3">
      <c r="A8" s="7" t="s">
        <v>17</v>
      </c>
      <c r="B8" s="16" t="s">
        <v>18</v>
      </c>
      <c r="C8" s="16"/>
      <c r="D8" s="16"/>
    </row>
    <row r="9" spans="1:5" x14ac:dyDescent="0.3">
      <c r="A9" s="7" t="s">
        <v>19</v>
      </c>
      <c r="B9" s="16" t="s">
        <v>20</v>
      </c>
      <c r="C9" s="16"/>
      <c r="D9" s="16"/>
    </row>
    <row r="10" spans="1:5" x14ac:dyDescent="0.3">
      <c r="A10" s="2"/>
      <c r="B10" s="2"/>
      <c r="C10" s="2"/>
      <c r="D10" s="2"/>
    </row>
    <row r="11" spans="1:5" x14ac:dyDescent="0.3">
      <c r="A11" s="18" t="s">
        <v>34</v>
      </c>
      <c r="B11" s="18"/>
      <c r="C11" s="18"/>
      <c r="D11" s="2"/>
    </row>
    <row r="12" spans="1:5" x14ac:dyDescent="0.3">
      <c r="A12" s="19"/>
      <c r="B12" s="19" t="s">
        <v>35</v>
      </c>
      <c r="C12" s="19" t="s">
        <v>10</v>
      </c>
      <c r="D12" s="2"/>
    </row>
    <row r="13" spans="1:5" x14ac:dyDescent="0.3">
      <c r="A13" s="20" t="s">
        <v>36</v>
      </c>
      <c r="B13" s="20"/>
      <c r="C13" s="20"/>
      <c r="D13" s="2"/>
    </row>
    <row r="14" spans="1:5" x14ac:dyDescent="0.3">
      <c r="A14" s="9" t="s">
        <v>14</v>
      </c>
      <c r="B14" s="4">
        <f>'RAÍZ 1'!D22</f>
        <v>3.2082204818725586</v>
      </c>
      <c r="C14" s="4">
        <f>'RAÍZ 1'!F22</f>
        <v>1.391058622601804E-5</v>
      </c>
      <c r="D14" s="2"/>
    </row>
    <row r="15" spans="1:5" x14ac:dyDescent="0.3">
      <c r="A15" s="9" t="s">
        <v>15</v>
      </c>
      <c r="B15" s="4">
        <f>COUNTIF('RAÍZ 1'!H2:H32,"→")+1</f>
        <v>20</v>
      </c>
      <c r="C15" s="4"/>
    </row>
    <row r="16" spans="1:5" x14ac:dyDescent="0.3">
      <c r="A16" s="4"/>
      <c r="B16" s="4"/>
      <c r="C16" s="4"/>
    </row>
    <row r="17" spans="1:3" x14ac:dyDescent="0.3">
      <c r="A17" s="14" t="s">
        <v>16</v>
      </c>
      <c r="B17" s="4">
        <f>'RAÍZ 2'!D22</f>
        <v>7.4898386001586914</v>
      </c>
      <c r="C17" s="1">
        <f>'RAÍZ 2'!F22</f>
        <v>1.9710259152816434E-5</v>
      </c>
    </row>
    <row r="18" spans="1:3" x14ac:dyDescent="0.3">
      <c r="A18" s="14" t="s">
        <v>15</v>
      </c>
      <c r="B18" s="1">
        <f>COUNTIF('RAÍZ 2'!H2:H32,"→")+1</f>
        <v>20</v>
      </c>
      <c r="C18" s="4"/>
    </row>
    <row r="20" spans="1:3" x14ac:dyDescent="0.3">
      <c r="A20" s="20" t="s">
        <v>27</v>
      </c>
      <c r="B20" s="20"/>
      <c r="C20" s="20"/>
    </row>
    <row r="21" spans="1:3" x14ac:dyDescent="0.3">
      <c r="A21" s="9" t="s">
        <v>26</v>
      </c>
      <c r="B21" s="4">
        <f>'Newton=3.5'!E6</f>
        <v>3.2082198020172239</v>
      </c>
      <c r="C21" s="13">
        <f>'Newton=3.5'!F6</f>
        <v>2.544719546193619E-9</v>
      </c>
    </row>
    <row r="22" spans="1:3" x14ac:dyDescent="0.3">
      <c r="A22" s="14" t="s">
        <v>15</v>
      </c>
      <c r="B22" s="4">
        <f>COUNTIF('Newton=3.5'!G2:G24,"→")+1</f>
        <v>4</v>
      </c>
      <c r="C22" s="4"/>
    </row>
    <row r="23" spans="1:3" x14ac:dyDescent="0.3">
      <c r="A23" s="4"/>
      <c r="B23" s="4"/>
      <c r="C23" s="4"/>
    </row>
    <row r="24" spans="1:3" x14ac:dyDescent="0.3">
      <c r="A24" s="9" t="s">
        <v>25</v>
      </c>
      <c r="B24" s="4">
        <f>'Newton=7.5'!E5</f>
        <v>7.4898387299706375</v>
      </c>
      <c r="C24" s="12">
        <f>'Newton=7.5'!F5</f>
        <v>3.5294416278475182E-9</v>
      </c>
    </row>
    <row r="25" spans="1:3" x14ac:dyDescent="0.3">
      <c r="A25" s="14" t="s">
        <v>15</v>
      </c>
      <c r="B25" s="1">
        <f>COUNTIF('Newton=7.5'!G2:G22,"→")+1</f>
        <v>3</v>
      </c>
      <c r="C25" s="4"/>
    </row>
    <row r="26" spans="1:3" x14ac:dyDescent="0.3">
      <c r="A26" s="4"/>
      <c r="B26" s="4"/>
      <c r="C26" s="4"/>
    </row>
    <row r="27" spans="1:3" x14ac:dyDescent="0.3">
      <c r="A27" s="20" t="s">
        <v>31</v>
      </c>
      <c r="B27" s="20"/>
      <c r="C27" s="20"/>
    </row>
    <row r="28" spans="1:3" x14ac:dyDescent="0.3">
      <c r="A28" s="9" t="s">
        <v>14</v>
      </c>
      <c r="B28" s="4">
        <f>'SEC=3.0,4.0'!C7</f>
        <v>3.208219697395827</v>
      </c>
      <c r="C28" s="13">
        <f>'SEC=3.0,4.0'!G7</f>
        <v>1.0461965249675131E-7</v>
      </c>
    </row>
    <row r="29" spans="1:3" x14ac:dyDescent="0.3">
      <c r="A29" s="9" t="s">
        <v>15</v>
      </c>
      <c r="B29" s="4">
        <f>COUNTIF('SEC=3.0,4.0'!H2:H32,"→")+1</f>
        <v>5</v>
      </c>
      <c r="C29" s="4"/>
    </row>
    <row r="30" spans="1:3" x14ac:dyDescent="0.3">
      <c r="A30" s="4"/>
      <c r="B30" s="4"/>
      <c r="C30" s="4"/>
    </row>
    <row r="31" spans="1:3" x14ac:dyDescent="0.3">
      <c r="A31" s="14" t="s">
        <v>16</v>
      </c>
      <c r="B31" s="4">
        <f>'SEC=7.0,8.0'!C9</f>
        <v>7.4898387301426341</v>
      </c>
      <c r="C31" s="12">
        <f>'SEC=7.0,8.0'!G9</f>
        <v>1.7199841551018835E-10</v>
      </c>
    </row>
    <row r="32" spans="1:3" x14ac:dyDescent="0.3">
      <c r="A32" s="14" t="s">
        <v>15</v>
      </c>
      <c r="B32" s="1">
        <f>COUNTIF('SEC=7.0,8.0'!H2:H39,"→")+1</f>
        <v>7</v>
      </c>
      <c r="C32" s="4"/>
    </row>
    <row r="33" spans="1:3" x14ac:dyDescent="0.3">
      <c r="A33" s="4"/>
      <c r="B33" s="4"/>
      <c r="C33" s="4"/>
    </row>
  </sheetData>
  <mergeCells count="9">
    <mergeCell ref="A11:C11"/>
    <mergeCell ref="A13:C13"/>
    <mergeCell ref="A20:C20"/>
    <mergeCell ref="A27:C27"/>
    <mergeCell ref="A1:E1"/>
    <mergeCell ref="A4:C4"/>
    <mergeCell ref="A2:D2"/>
    <mergeCell ref="B8:D8"/>
    <mergeCell ref="B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DFA3-04DF-4E47-A28C-674CCF9F121A}">
  <dimension ref="A1:H153"/>
  <sheetViews>
    <sheetView zoomScale="98" zoomScaleNormal="98" workbookViewId="0">
      <selection activeCell="A2" sqref="A2"/>
    </sheetView>
  </sheetViews>
  <sheetFormatPr baseColWidth="10" defaultRowHeight="16.5" x14ac:dyDescent="0.3"/>
  <cols>
    <col min="1" max="4" width="11.5" customWidth="1"/>
    <col min="5" max="5" width="14.25" customWidth="1"/>
    <col min="6" max="6" width="13.25" customWidth="1"/>
    <col min="7" max="8" width="11.5" customWidth="1"/>
  </cols>
  <sheetData>
    <row r="1" spans="1:8" x14ac:dyDescent="0.3">
      <c r="A1" s="17" t="s">
        <v>32</v>
      </c>
      <c r="B1" s="17"/>
      <c r="C1" s="17"/>
      <c r="D1" s="17"/>
      <c r="E1" s="17"/>
      <c r="F1" s="17"/>
      <c r="G1" s="17"/>
      <c r="H1" s="17"/>
    </row>
    <row r="2" spans="1:8" x14ac:dyDescent="0.3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12</v>
      </c>
      <c r="G2" s="7" t="s">
        <v>10</v>
      </c>
      <c r="H2" s="7" t="s">
        <v>11</v>
      </c>
    </row>
    <row r="3" spans="1:8" x14ac:dyDescent="0.3">
      <c r="A3" s="8">
        <v>1</v>
      </c>
      <c r="B3" s="5">
        <v>3</v>
      </c>
      <c r="C3" s="5">
        <v>4</v>
      </c>
      <c r="D3" s="5">
        <f>(B3+C3)/2</f>
        <v>3.5</v>
      </c>
      <c r="E3" s="5">
        <f>B3^3 - EXP(0.8*B3) - 20</f>
        <v>-4.0231763806416048</v>
      </c>
      <c r="F3" s="5">
        <f>D3^3 - EXP(0.8*D3) - 20</f>
        <v>6.4303532289029448</v>
      </c>
      <c r="G3" s="5">
        <f>ABS(C3-B3)/2</f>
        <v>0.5</v>
      </c>
      <c r="H3" s="1" t="str">
        <f>IF(OR(ABS(F3)&lt;CONFIG!$B$5,G3&lt;CONFIG!$B$5),"✓","→")</f>
        <v>→</v>
      </c>
    </row>
    <row r="4" spans="1:8" x14ac:dyDescent="0.3">
      <c r="A4" s="8">
        <f>A3+1</f>
        <v>2</v>
      </c>
      <c r="B4" s="5">
        <f>IF(E3*F3&lt;0,B3,D3)</f>
        <v>3</v>
      </c>
      <c r="C4" s="5">
        <f>IF(E3*F3&lt;0,D3,C3)</f>
        <v>3.5</v>
      </c>
      <c r="D4" s="5">
        <f>(B4+C4)/2</f>
        <v>3.25</v>
      </c>
      <c r="E4" s="5">
        <f>B4^3 - EXP(0.8*B4) - 20</f>
        <v>-4.0231763806416048</v>
      </c>
      <c r="F4" s="5">
        <f>D4^3 - EXP(0.8*D4) - 20</f>
        <v>0.86438696499831025</v>
      </c>
      <c r="G4" s="5">
        <f>ABS(C4-B4)/2</f>
        <v>0.25</v>
      </c>
      <c r="H4" s="1" t="str">
        <f>IF(OR(ABS(F4)&lt;CONFIG!$B$5,G4&lt;CONFIG!$B$5),"✓","→")</f>
        <v>→</v>
      </c>
    </row>
    <row r="5" spans="1:8" x14ac:dyDescent="0.3">
      <c r="A5" s="8">
        <f t="shared" ref="A5:A10" si="0">A4+1</f>
        <v>3</v>
      </c>
      <c r="B5" s="5">
        <f t="shared" ref="B5:B10" si="1">IF(E4*F4&lt;0,B4,D4)</f>
        <v>3</v>
      </c>
      <c r="C5" s="5">
        <f t="shared" ref="C5:C10" si="2">IF(E4*F4&lt;0,D4,C4)</f>
        <v>3.25</v>
      </c>
      <c r="D5" s="5">
        <f t="shared" ref="D5:D10" si="3">(B5+C5)/2</f>
        <v>3.125</v>
      </c>
      <c r="E5" s="5">
        <f t="shared" ref="E5:E10" si="4">B5^3 - EXP(0.8*B5) - 20</f>
        <v>-4.0231763806416048</v>
      </c>
      <c r="F5" s="5">
        <f>D5^3 - EXP(0.8*D5) - 20</f>
        <v>-1.664915835703475</v>
      </c>
      <c r="G5" s="5">
        <f t="shared" ref="G5:G10" si="5">ABS(C5-B5)/2</f>
        <v>0.125</v>
      </c>
      <c r="H5" s="1" t="str">
        <f>IF(OR(ABS(F5)&lt;CONFIG!$B$5,G5&lt;CONFIG!$B$5),"✓","→")</f>
        <v>→</v>
      </c>
    </row>
    <row r="6" spans="1:8" x14ac:dyDescent="0.3">
      <c r="A6" s="8">
        <f t="shared" si="0"/>
        <v>4</v>
      </c>
      <c r="B6" s="5">
        <f t="shared" si="1"/>
        <v>3.125</v>
      </c>
      <c r="C6" s="5">
        <f t="shared" si="2"/>
        <v>3.25</v>
      </c>
      <c r="D6" s="5">
        <f t="shared" si="3"/>
        <v>3.1875</v>
      </c>
      <c r="E6" s="5">
        <f t="shared" si="4"/>
        <v>-1.664915835703475</v>
      </c>
      <c r="F6" s="5">
        <f>D6^3 - EXP(0.8*D6) - 20</f>
        <v>-0.42160573578803451</v>
      </c>
      <c r="G6" s="5">
        <f t="shared" si="5"/>
        <v>6.25E-2</v>
      </c>
      <c r="H6" s="1" t="str">
        <f>IF(OR(ABS(F6)&lt;CONFIG!$B$5,G6&lt;CONFIG!$B$5),"✓","→")</f>
        <v>→</v>
      </c>
    </row>
    <row r="7" spans="1:8" x14ac:dyDescent="0.3">
      <c r="A7" s="8">
        <f t="shared" si="0"/>
        <v>5</v>
      </c>
      <c r="B7" s="5">
        <f t="shared" si="1"/>
        <v>3.1875</v>
      </c>
      <c r="C7" s="5">
        <f t="shared" si="2"/>
        <v>3.25</v>
      </c>
      <c r="D7" s="5">
        <f t="shared" si="3"/>
        <v>3.21875</v>
      </c>
      <c r="E7" s="5">
        <f t="shared" si="4"/>
        <v>-0.42160573578803451</v>
      </c>
      <c r="F7" s="5">
        <f t="shared" ref="F7:F10" si="6">D7^3 - EXP(0.8*D7) - 20</f>
        <v>0.21606443330685821</v>
      </c>
      <c r="G7" s="5">
        <f t="shared" si="5"/>
        <v>3.125E-2</v>
      </c>
      <c r="H7" s="1" t="str">
        <f>IF(OR(ABS(F7)&lt;CONFIG!$B$5,G7&lt;CONFIG!$B$5),"✓","→")</f>
        <v>→</v>
      </c>
    </row>
    <row r="8" spans="1:8" x14ac:dyDescent="0.3">
      <c r="A8" s="8">
        <f t="shared" si="0"/>
        <v>6</v>
      </c>
      <c r="B8" s="5">
        <f t="shared" si="1"/>
        <v>3.1875</v>
      </c>
      <c r="C8" s="5">
        <f t="shared" si="2"/>
        <v>3.21875</v>
      </c>
      <c r="D8" s="5">
        <f t="shared" si="3"/>
        <v>3.203125</v>
      </c>
      <c r="E8" s="5">
        <f t="shared" si="4"/>
        <v>-0.42160573578803451</v>
      </c>
      <c r="F8" s="5">
        <f t="shared" si="6"/>
        <v>-0.10410353645155368</v>
      </c>
      <c r="G8" s="5">
        <f t="shared" si="5"/>
        <v>1.5625E-2</v>
      </c>
      <c r="H8" s="1" t="str">
        <f>IF(OR(ABS(F8)&lt;CONFIG!$B$5,G8&lt;CONFIG!$B$5),"✓","→")</f>
        <v>→</v>
      </c>
    </row>
    <row r="9" spans="1:8" x14ac:dyDescent="0.3">
      <c r="A9" s="8">
        <f t="shared" si="0"/>
        <v>7</v>
      </c>
      <c r="B9" s="5">
        <f t="shared" si="1"/>
        <v>3.203125</v>
      </c>
      <c r="C9" s="5">
        <f t="shared" si="2"/>
        <v>3.21875</v>
      </c>
      <c r="D9" s="5">
        <f t="shared" si="3"/>
        <v>3.2109375</v>
      </c>
      <c r="E9" s="5">
        <f t="shared" si="4"/>
        <v>-0.10410353645155368</v>
      </c>
      <c r="F9" s="5">
        <f t="shared" si="6"/>
        <v>5.5647382134296208E-2</v>
      </c>
      <c r="G9" s="5">
        <f t="shared" si="5"/>
        <v>7.8125E-3</v>
      </c>
      <c r="H9" s="1" t="str">
        <f>IF(OR(ABS(F9)&lt;CONFIG!$B$5,G9&lt;CONFIG!$B$5),"✓","→")</f>
        <v>→</v>
      </c>
    </row>
    <row r="10" spans="1:8" x14ac:dyDescent="0.3">
      <c r="A10" s="8">
        <f t="shared" si="0"/>
        <v>8</v>
      </c>
      <c r="B10" s="5">
        <f t="shared" si="1"/>
        <v>3.203125</v>
      </c>
      <c r="C10" s="5">
        <f t="shared" si="2"/>
        <v>3.2109375</v>
      </c>
      <c r="D10" s="5">
        <f t="shared" si="3"/>
        <v>3.20703125</v>
      </c>
      <c r="E10" s="5">
        <f t="shared" si="4"/>
        <v>-0.10410353645155368</v>
      </c>
      <c r="F10" s="5">
        <f t="shared" si="6"/>
        <v>-2.4311363882567605E-2</v>
      </c>
      <c r="G10" s="5">
        <f t="shared" si="5"/>
        <v>3.90625E-3</v>
      </c>
      <c r="H10" s="1" t="str">
        <f>IF(OR(ABS(F10)&lt;CONFIG!$B$5,G10&lt;CONFIG!$B$5),"✓","→")</f>
        <v>→</v>
      </c>
    </row>
    <row r="11" spans="1:8" x14ac:dyDescent="0.3">
      <c r="A11" s="8">
        <f t="shared" ref="A11:A23" si="7">A10+1</f>
        <v>9</v>
      </c>
      <c r="B11" s="5">
        <f t="shared" ref="B11:B23" si="8">IF(E10*F10&lt;0,B10,D10)</f>
        <v>3.20703125</v>
      </c>
      <c r="C11" s="5">
        <f t="shared" ref="C11:C23" si="9">IF(E10*F10&lt;0,D10,C10)</f>
        <v>3.2109375</v>
      </c>
      <c r="D11" s="5">
        <f t="shared" ref="D11:D23" si="10">(B11+C11)/2</f>
        <v>3.208984375</v>
      </c>
      <c r="E11" s="5">
        <f t="shared" ref="E11:E23" si="11">B11^3 - EXP(0.8*B11) - 20</f>
        <v>-2.4311363882567605E-2</v>
      </c>
      <c r="F11" s="5">
        <f t="shared" ref="F11:F23" si="12">D11^3 - EXP(0.8*D11) - 20</f>
        <v>1.5647189915139137E-2</v>
      </c>
      <c r="G11" s="5">
        <f t="shared" ref="G11:G23" si="13">ABS(C11-B11)/2</f>
        <v>1.953125E-3</v>
      </c>
      <c r="H11" s="1" t="str">
        <f>IF(OR(ABS(F11)&lt;CONFIG!$B$5,G11&lt;CONFIG!$B$5),"✓","→")</f>
        <v>→</v>
      </c>
    </row>
    <row r="12" spans="1:8" x14ac:dyDescent="0.3">
      <c r="A12" s="8">
        <f t="shared" si="7"/>
        <v>10</v>
      </c>
      <c r="B12" s="5">
        <f t="shared" si="8"/>
        <v>3.20703125</v>
      </c>
      <c r="C12" s="5">
        <f t="shared" si="9"/>
        <v>3.208984375</v>
      </c>
      <c r="D12" s="5">
        <f t="shared" si="10"/>
        <v>3.2080078125</v>
      </c>
      <c r="E12" s="5">
        <f t="shared" si="11"/>
        <v>-2.4311363882567605E-2</v>
      </c>
      <c r="F12" s="5">
        <f t="shared" si="12"/>
        <v>-4.3372920982065466E-3</v>
      </c>
      <c r="G12" s="5">
        <f t="shared" si="13"/>
        <v>9.765625E-4</v>
      </c>
      <c r="H12" s="1" t="str">
        <f>IF(OR(ABS(F12)&lt;CONFIG!$B$5,G12&lt;CONFIG!$B$5),"✓","→")</f>
        <v>→</v>
      </c>
    </row>
    <row r="13" spans="1:8" x14ac:dyDescent="0.3">
      <c r="A13" s="8">
        <f t="shared" si="7"/>
        <v>11</v>
      </c>
      <c r="B13" s="5">
        <f t="shared" si="8"/>
        <v>3.2080078125</v>
      </c>
      <c r="C13" s="5">
        <f t="shared" si="9"/>
        <v>3.208984375</v>
      </c>
      <c r="D13" s="5">
        <f t="shared" si="10"/>
        <v>3.20849609375</v>
      </c>
      <c r="E13" s="5">
        <f t="shared" si="11"/>
        <v>-4.3372920982065466E-3</v>
      </c>
      <c r="F13" s="5">
        <f t="shared" si="12"/>
        <v>5.6536476686304127E-3</v>
      </c>
      <c r="G13" s="5">
        <f t="shared" si="13"/>
        <v>4.8828125E-4</v>
      </c>
      <c r="H13" s="1" t="str">
        <f>IF(OR(ABS(F13)&lt;CONFIG!$B$5,G13&lt;CONFIG!$B$5),"✓","→")</f>
        <v>→</v>
      </c>
    </row>
    <row r="14" spans="1:8" x14ac:dyDescent="0.3">
      <c r="A14" s="8">
        <f t="shared" si="7"/>
        <v>12</v>
      </c>
      <c r="B14" s="5">
        <f t="shared" si="8"/>
        <v>3.2080078125</v>
      </c>
      <c r="C14" s="5">
        <f t="shared" si="9"/>
        <v>3.20849609375</v>
      </c>
      <c r="D14" s="5">
        <f t="shared" si="10"/>
        <v>3.208251953125</v>
      </c>
      <c r="E14" s="5">
        <f t="shared" si="11"/>
        <v>-4.3372920982065466E-3</v>
      </c>
      <c r="F14" s="5">
        <f t="shared" si="12"/>
        <v>6.5785247038974148E-4</v>
      </c>
      <c r="G14" s="5">
        <f t="shared" si="13"/>
        <v>2.44140625E-4</v>
      </c>
      <c r="H14" s="1" t="str">
        <f>IF(OR(ABS(F14)&lt;CONFIG!$B$5,G14&lt;CONFIG!$B$5),"✓","→")</f>
        <v>→</v>
      </c>
    </row>
    <row r="15" spans="1:8" x14ac:dyDescent="0.3">
      <c r="A15" s="8">
        <f t="shared" si="7"/>
        <v>13</v>
      </c>
      <c r="B15" s="5">
        <f t="shared" si="8"/>
        <v>3.2080078125</v>
      </c>
      <c r="C15" s="5">
        <f t="shared" si="9"/>
        <v>3.208251953125</v>
      </c>
      <c r="D15" s="5">
        <f t="shared" si="10"/>
        <v>3.2081298828125</v>
      </c>
      <c r="E15" s="5">
        <f t="shared" si="11"/>
        <v>-4.3372920982065466E-3</v>
      </c>
      <c r="F15" s="5">
        <f t="shared" si="12"/>
        <v>-1.8398011432196881E-3</v>
      </c>
      <c r="G15" s="5">
        <f t="shared" si="13"/>
        <v>1.220703125E-4</v>
      </c>
      <c r="H15" s="1" t="str">
        <f>IF(OR(ABS(F15)&lt;CONFIG!$B$5,G15&lt;CONFIG!$B$5),"✓","→")</f>
        <v>→</v>
      </c>
    </row>
    <row r="16" spans="1:8" x14ac:dyDescent="0.3">
      <c r="A16" s="8">
        <f t="shared" si="7"/>
        <v>14</v>
      </c>
      <c r="B16" s="5">
        <f t="shared" si="8"/>
        <v>3.2081298828125</v>
      </c>
      <c r="C16" s="5">
        <f t="shared" si="9"/>
        <v>3.208251953125</v>
      </c>
      <c r="D16" s="5">
        <f t="shared" si="10"/>
        <v>3.20819091796875</v>
      </c>
      <c r="E16" s="5">
        <f t="shared" si="11"/>
        <v>-1.8398011432196881E-3</v>
      </c>
      <c r="F16" s="5">
        <f t="shared" si="12"/>
        <v>-5.9099466866285866E-4</v>
      </c>
      <c r="G16" s="5">
        <f t="shared" si="13"/>
        <v>6.103515625E-5</v>
      </c>
      <c r="H16" s="1" t="str">
        <f>IF(OR(ABS(F16)&lt;CONFIG!$B$5,G16&lt;CONFIG!$B$5),"✓","→")</f>
        <v>→</v>
      </c>
    </row>
    <row r="17" spans="1:8" x14ac:dyDescent="0.3">
      <c r="A17" s="8">
        <f t="shared" si="7"/>
        <v>15</v>
      </c>
      <c r="B17" s="5">
        <f t="shared" si="8"/>
        <v>3.20819091796875</v>
      </c>
      <c r="C17" s="5">
        <f t="shared" si="9"/>
        <v>3.208251953125</v>
      </c>
      <c r="D17" s="5">
        <f t="shared" si="10"/>
        <v>3.208221435546875</v>
      </c>
      <c r="E17" s="5">
        <f t="shared" si="11"/>
        <v>-5.9099466866285866E-4</v>
      </c>
      <c r="F17" s="5">
        <f t="shared" si="12"/>
        <v>3.3423817811240042E-5</v>
      </c>
      <c r="G17" s="5">
        <f t="shared" si="13"/>
        <v>3.0517578125E-5</v>
      </c>
      <c r="H17" s="1" t="str">
        <f>IF(OR(ABS(F17)&lt;CONFIG!$B$5,G17&lt;CONFIG!$B$5),"✓","→")</f>
        <v>→</v>
      </c>
    </row>
    <row r="18" spans="1:8" x14ac:dyDescent="0.3">
      <c r="A18" s="8">
        <f t="shared" si="7"/>
        <v>16</v>
      </c>
      <c r="B18" s="5">
        <f t="shared" si="8"/>
        <v>3.20819091796875</v>
      </c>
      <c r="C18" s="5">
        <f t="shared" si="9"/>
        <v>3.208221435546875</v>
      </c>
      <c r="D18" s="5">
        <f t="shared" si="10"/>
        <v>3.2082061767578125</v>
      </c>
      <c r="E18" s="5">
        <f t="shared" si="11"/>
        <v>-5.9099466866285866E-4</v>
      </c>
      <c r="F18" s="5">
        <f t="shared" si="12"/>
        <v>-2.7878669619951779E-4</v>
      </c>
      <c r="G18" s="5">
        <f t="shared" si="13"/>
        <v>1.52587890625E-5</v>
      </c>
      <c r="H18" s="1" t="str">
        <f>IF(OR(ABS(F18)&lt;CONFIG!$B$5,G18&lt;CONFIG!$B$5),"✓","→")</f>
        <v>→</v>
      </c>
    </row>
    <row r="19" spans="1:8" x14ac:dyDescent="0.3">
      <c r="A19" s="8">
        <f t="shared" si="7"/>
        <v>17</v>
      </c>
      <c r="B19" s="5">
        <f t="shared" si="8"/>
        <v>3.2082061767578125</v>
      </c>
      <c r="C19" s="5">
        <f t="shared" si="9"/>
        <v>3.208221435546875</v>
      </c>
      <c r="D19" s="5">
        <f t="shared" si="10"/>
        <v>3.2082138061523438</v>
      </c>
      <c r="E19" s="5">
        <f t="shared" si="11"/>
        <v>-2.7878669619951779E-4</v>
      </c>
      <c r="F19" s="5">
        <f t="shared" si="12"/>
        <v>-1.2268175688490146E-4</v>
      </c>
      <c r="G19" s="5">
        <f t="shared" si="13"/>
        <v>7.62939453125E-6</v>
      </c>
      <c r="H19" s="1" t="str">
        <f>IF(OR(ABS(F19)&lt;CONFIG!$B$5,G19&lt;CONFIG!$B$5),"✓","→")</f>
        <v>→</v>
      </c>
    </row>
    <row r="20" spans="1:8" x14ac:dyDescent="0.3">
      <c r="A20" s="8">
        <f t="shared" si="7"/>
        <v>18</v>
      </c>
      <c r="B20" s="5">
        <f t="shared" si="8"/>
        <v>3.2082138061523438</v>
      </c>
      <c r="C20" s="5">
        <f t="shared" si="9"/>
        <v>3.208221435546875</v>
      </c>
      <c r="D20" s="5">
        <f t="shared" si="10"/>
        <v>3.2082176208496094</v>
      </c>
      <c r="E20" s="5">
        <f t="shared" si="11"/>
        <v>-1.2268175688490146E-4</v>
      </c>
      <c r="F20" s="5">
        <f t="shared" si="12"/>
        <v>-4.4629048957744999E-5</v>
      </c>
      <c r="G20" s="5">
        <f t="shared" si="13"/>
        <v>3.814697265625E-6</v>
      </c>
      <c r="H20" s="1" t="str">
        <f>IF(OR(ABS(F20)&lt;CONFIG!$B$5,G20&lt;CONFIG!$B$5),"✓","→")</f>
        <v>→</v>
      </c>
    </row>
    <row r="21" spans="1:8" x14ac:dyDescent="0.3">
      <c r="A21" s="8">
        <f t="shared" si="7"/>
        <v>19</v>
      </c>
      <c r="B21" s="5">
        <f t="shared" si="8"/>
        <v>3.2082176208496094</v>
      </c>
      <c r="C21" s="5">
        <f t="shared" si="9"/>
        <v>3.208221435546875</v>
      </c>
      <c r="D21" s="5">
        <f t="shared" si="10"/>
        <v>3.2082195281982422</v>
      </c>
      <c r="E21" s="5">
        <f t="shared" si="11"/>
        <v>-4.4629048957744999E-5</v>
      </c>
      <c r="F21" s="5">
        <f t="shared" si="12"/>
        <v>-5.6026354293692293E-6</v>
      </c>
      <c r="G21" s="5">
        <f t="shared" si="13"/>
        <v>1.9073486328125E-6</v>
      </c>
      <c r="H21" s="1" t="str">
        <f>IF(OR(ABS(F21)&lt;CONFIG!$B$5,G21&lt;CONFIG!$B$5),"✓","→")</f>
        <v>→</v>
      </c>
    </row>
    <row r="22" spans="1:8" x14ac:dyDescent="0.3">
      <c r="A22" s="8">
        <f t="shared" si="7"/>
        <v>20</v>
      </c>
      <c r="B22" s="5">
        <f t="shared" si="8"/>
        <v>3.2082195281982422</v>
      </c>
      <c r="C22" s="5">
        <f t="shared" si="9"/>
        <v>3.208221435546875</v>
      </c>
      <c r="D22" s="5">
        <f t="shared" si="10"/>
        <v>3.2082204818725586</v>
      </c>
      <c r="E22" s="5">
        <f t="shared" si="11"/>
        <v>-5.6026354293692293E-6</v>
      </c>
      <c r="F22" s="5">
        <f t="shared" si="12"/>
        <v>1.391058622601804E-5</v>
      </c>
      <c r="G22" s="5">
        <f t="shared" si="13"/>
        <v>9.5367431640625E-7</v>
      </c>
      <c r="H22" s="1" t="str">
        <f>IF(OR(ABS(F22)&lt;CONFIG!$B$5,G22&lt;CONFIG!$B$5),"✓","→")</f>
        <v>✓</v>
      </c>
    </row>
    <row r="23" spans="1:8" x14ac:dyDescent="0.3">
      <c r="A23" s="8">
        <f t="shared" si="7"/>
        <v>21</v>
      </c>
      <c r="B23" s="5">
        <f t="shared" si="8"/>
        <v>3.2082195281982422</v>
      </c>
      <c r="C23" s="5">
        <f t="shared" si="9"/>
        <v>3.2082204818725586</v>
      </c>
      <c r="D23" s="5">
        <f t="shared" si="10"/>
        <v>3.2082200050354004</v>
      </c>
      <c r="E23" s="5">
        <f t="shared" si="11"/>
        <v>-5.6026354293692293E-6</v>
      </c>
      <c r="F23" s="5">
        <f t="shared" si="12"/>
        <v>4.1539741566509747E-6</v>
      </c>
      <c r="G23" s="5">
        <f t="shared" si="13"/>
        <v>4.76837158203125E-7</v>
      </c>
      <c r="H23" s="1" t="str">
        <f>IF(OR(ABS(F23)&lt;CONFIG!$B$5,G23&lt;CONFIG!$B$5),"✓","→")</f>
        <v>✓</v>
      </c>
    </row>
    <row r="24" spans="1:8" x14ac:dyDescent="0.3">
      <c r="A24" s="6"/>
      <c r="B24" s="5"/>
      <c r="C24" s="5"/>
      <c r="D24" s="5"/>
      <c r="E24" s="5"/>
      <c r="F24" s="5"/>
      <c r="G24" s="5"/>
      <c r="H24" s="1"/>
    </row>
    <row r="25" spans="1:8" x14ac:dyDescent="0.3">
      <c r="A25" s="6"/>
      <c r="B25" s="5"/>
      <c r="C25" s="5"/>
      <c r="D25" s="5"/>
      <c r="E25" s="5"/>
      <c r="F25" s="5"/>
      <c r="G25" s="5"/>
      <c r="H25" s="1"/>
    </row>
    <row r="26" spans="1:8" x14ac:dyDescent="0.3">
      <c r="A26" s="6"/>
      <c r="B26" s="5"/>
      <c r="C26" s="5"/>
      <c r="D26" s="5"/>
      <c r="E26" s="5"/>
      <c r="F26" s="5"/>
      <c r="G26" s="5"/>
      <c r="H26" s="1"/>
    </row>
    <row r="27" spans="1:8" x14ac:dyDescent="0.3">
      <c r="A27" s="6"/>
      <c r="B27" s="5"/>
      <c r="C27" s="5"/>
      <c r="D27" s="5"/>
      <c r="E27" s="5"/>
      <c r="F27" s="5"/>
      <c r="G27" s="5"/>
      <c r="H27" s="1"/>
    </row>
    <row r="28" spans="1:8" x14ac:dyDescent="0.3">
      <c r="A28" s="6"/>
      <c r="B28" s="5"/>
      <c r="C28" s="5"/>
      <c r="D28" s="5"/>
      <c r="E28" s="5"/>
      <c r="F28" s="5"/>
      <c r="G28" s="5"/>
      <c r="H28" s="1"/>
    </row>
    <row r="29" spans="1:8" x14ac:dyDescent="0.3">
      <c r="A29" s="6"/>
      <c r="B29" s="5"/>
      <c r="C29" s="5"/>
      <c r="D29" s="5"/>
      <c r="E29" s="5"/>
      <c r="F29" s="5"/>
      <c r="G29" s="5"/>
      <c r="H29" s="1"/>
    </row>
    <row r="30" spans="1:8" x14ac:dyDescent="0.3">
      <c r="A30" s="6"/>
      <c r="B30" s="5"/>
      <c r="C30" s="5"/>
      <c r="D30" s="5"/>
      <c r="E30" s="5"/>
      <c r="F30" s="5"/>
      <c r="G30" s="5"/>
      <c r="H30" s="1"/>
    </row>
    <row r="31" spans="1:8" x14ac:dyDescent="0.3">
      <c r="A31" s="6"/>
      <c r="B31" s="5"/>
      <c r="C31" s="5"/>
      <c r="D31" s="5"/>
      <c r="E31" s="5"/>
      <c r="F31" s="5"/>
      <c r="G31" s="5"/>
      <c r="H31" s="1"/>
    </row>
    <row r="32" spans="1:8" x14ac:dyDescent="0.3">
      <c r="A32" s="6"/>
      <c r="B32" s="5"/>
      <c r="C32" s="5"/>
      <c r="D32" s="5"/>
      <c r="E32" s="5"/>
      <c r="F32" s="5"/>
      <c r="G32" s="5"/>
      <c r="H32" s="1"/>
    </row>
    <row r="33" spans="1:8" x14ac:dyDescent="0.3">
      <c r="A33" s="6"/>
      <c r="B33" s="5"/>
      <c r="C33" s="5"/>
      <c r="D33" s="5"/>
      <c r="E33" s="5"/>
      <c r="F33" s="5"/>
      <c r="G33" s="5"/>
      <c r="H33" s="1"/>
    </row>
    <row r="34" spans="1:8" x14ac:dyDescent="0.3">
      <c r="A34" s="6"/>
      <c r="B34" s="5"/>
      <c r="C34" s="5"/>
      <c r="D34" s="5"/>
      <c r="E34" s="5"/>
      <c r="F34" s="5"/>
      <c r="G34" s="5"/>
      <c r="H34" s="1"/>
    </row>
    <row r="35" spans="1:8" x14ac:dyDescent="0.3">
      <c r="A35" s="6"/>
      <c r="B35" s="5"/>
      <c r="C35" s="5"/>
      <c r="D35" s="5"/>
      <c r="E35" s="5"/>
      <c r="F35" s="5"/>
      <c r="G35" s="5"/>
      <c r="H35" s="1"/>
    </row>
    <row r="36" spans="1:8" x14ac:dyDescent="0.3">
      <c r="A36" s="6"/>
      <c r="B36" s="5"/>
      <c r="C36" s="5"/>
      <c r="D36" s="5"/>
      <c r="E36" s="5"/>
      <c r="F36" s="5"/>
      <c r="G36" s="5"/>
      <c r="H36" s="1"/>
    </row>
    <row r="37" spans="1:8" x14ac:dyDescent="0.3">
      <c r="A37" s="6"/>
      <c r="B37" s="5"/>
      <c r="C37" s="5"/>
      <c r="D37" s="5"/>
      <c r="E37" s="5"/>
      <c r="F37" s="5"/>
      <c r="G37" s="5"/>
      <c r="H37" s="1"/>
    </row>
    <row r="38" spans="1:8" x14ac:dyDescent="0.3">
      <c r="A38" s="6"/>
      <c r="B38" s="5"/>
      <c r="C38" s="5"/>
      <c r="D38" s="5"/>
      <c r="E38" s="5"/>
      <c r="F38" s="5"/>
      <c r="G38" s="5"/>
      <c r="H38" s="1"/>
    </row>
    <row r="39" spans="1:8" x14ac:dyDescent="0.3">
      <c r="A39" s="6"/>
      <c r="B39" s="5"/>
      <c r="C39" s="5"/>
      <c r="D39" s="5"/>
      <c r="E39" s="5"/>
      <c r="F39" s="5"/>
      <c r="G39" s="5"/>
      <c r="H39" s="1"/>
    </row>
    <row r="40" spans="1:8" x14ac:dyDescent="0.3">
      <c r="A40" s="6"/>
      <c r="B40" s="5"/>
      <c r="C40" s="5"/>
      <c r="D40" s="5"/>
      <c r="E40" s="5"/>
      <c r="F40" s="5"/>
      <c r="G40" s="5"/>
      <c r="H40" s="1"/>
    </row>
    <row r="41" spans="1:8" x14ac:dyDescent="0.3">
      <c r="A41" s="6"/>
      <c r="B41" s="5"/>
      <c r="C41" s="5"/>
      <c r="D41" s="5"/>
      <c r="E41" s="5"/>
      <c r="F41" s="5"/>
      <c r="G41" s="5"/>
      <c r="H41" s="1"/>
    </row>
    <row r="42" spans="1:8" x14ac:dyDescent="0.3">
      <c r="A42" s="6"/>
      <c r="B42" s="5"/>
      <c r="C42" s="5"/>
      <c r="D42" s="5"/>
      <c r="E42" s="5"/>
      <c r="F42" s="5"/>
      <c r="G42" s="5"/>
      <c r="H42" s="1"/>
    </row>
    <row r="43" spans="1:8" x14ac:dyDescent="0.3">
      <c r="A43" s="6"/>
      <c r="B43" s="5"/>
      <c r="C43" s="5"/>
      <c r="D43" s="5"/>
      <c r="E43" s="5"/>
      <c r="F43" s="5"/>
      <c r="G43" s="5"/>
      <c r="H43" s="1"/>
    </row>
    <row r="44" spans="1:8" x14ac:dyDescent="0.3">
      <c r="A44" s="6"/>
      <c r="B44" s="5"/>
      <c r="C44" s="5"/>
      <c r="D44" s="5"/>
      <c r="E44" s="5"/>
      <c r="F44" s="5"/>
      <c r="G44" s="5"/>
      <c r="H44" s="1"/>
    </row>
    <row r="45" spans="1:8" x14ac:dyDescent="0.3">
      <c r="A45" s="6"/>
      <c r="B45" s="5"/>
      <c r="C45" s="5"/>
      <c r="D45" s="5"/>
      <c r="E45" s="5"/>
      <c r="F45" s="5"/>
      <c r="G45" s="5"/>
      <c r="H45" s="1"/>
    </row>
    <row r="46" spans="1:8" x14ac:dyDescent="0.3">
      <c r="A46" s="6"/>
      <c r="B46" s="5"/>
      <c r="C46" s="5"/>
      <c r="D46" s="5"/>
      <c r="E46" s="5"/>
      <c r="F46" s="5"/>
      <c r="G46" s="5"/>
      <c r="H46" s="1"/>
    </row>
    <row r="47" spans="1:8" x14ac:dyDescent="0.3">
      <c r="A47" s="6"/>
      <c r="B47" s="5"/>
      <c r="C47" s="5"/>
      <c r="D47" s="5"/>
      <c r="E47" s="5"/>
      <c r="F47" s="5"/>
      <c r="G47" s="5"/>
      <c r="H47" s="1"/>
    </row>
    <row r="48" spans="1:8" x14ac:dyDescent="0.3">
      <c r="A48" s="6"/>
      <c r="B48" s="5"/>
      <c r="C48" s="5"/>
      <c r="D48" s="5"/>
      <c r="E48" s="5"/>
      <c r="F48" s="5"/>
      <c r="G48" s="5"/>
      <c r="H48" s="1"/>
    </row>
    <row r="49" spans="1:8" x14ac:dyDescent="0.3">
      <c r="A49" s="6"/>
      <c r="B49" s="5"/>
      <c r="C49" s="5"/>
      <c r="D49" s="5"/>
      <c r="E49" s="5"/>
      <c r="F49" s="5"/>
      <c r="G49" s="5"/>
      <c r="H49" s="1"/>
    </row>
    <row r="50" spans="1:8" x14ac:dyDescent="0.3">
      <c r="A50" s="6"/>
      <c r="B50" s="5"/>
      <c r="C50" s="5"/>
      <c r="D50" s="5"/>
      <c r="E50" s="5"/>
      <c r="F50" s="5"/>
      <c r="G50" s="5"/>
      <c r="H50" s="1"/>
    </row>
    <row r="51" spans="1:8" x14ac:dyDescent="0.3">
      <c r="A51" s="6"/>
      <c r="B51" s="5"/>
      <c r="C51" s="5"/>
      <c r="D51" s="5"/>
      <c r="E51" s="5"/>
      <c r="F51" s="5"/>
      <c r="G51" s="5"/>
      <c r="H51" s="1"/>
    </row>
    <row r="52" spans="1:8" x14ac:dyDescent="0.3">
      <c r="A52" s="6"/>
      <c r="B52" s="5"/>
      <c r="C52" s="5"/>
      <c r="D52" s="5"/>
      <c r="E52" s="5"/>
      <c r="F52" s="5"/>
      <c r="G52" s="5"/>
      <c r="H52" s="1"/>
    </row>
    <row r="53" spans="1:8" x14ac:dyDescent="0.3">
      <c r="A53" s="6"/>
      <c r="B53" s="5"/>
      <c r="C53" s="5"/>
      <c r="D53" s="5"/>
      <c r="E53" s="5"/>
      <c r="F53" s="5"/>
      <c r="G53" s="5"/>
      <c r="H53" s="1"/>
    </row>
    <row r="54" spans="1:8" x14ac:dyDescent="0.3">
      <c r="A54" s="6"/>
      <c r="B54" s="5"/>
      <c r="C54" s="5"/>
      <c r="D54" s="5"/>
      <c r="E54" s="5"/>
      <c r="F54" s="5"/>
      <c r="G54" s="5"/>
      <c r="H54" s="1"/>
    </row>
    <row r="55" spans="1:8" x14ac:dyDescent="0.3">
      <c r="A55" s="6"/>
      <c r="B55" s="5"/>
      <c r="C55" s="5"/>
      <c r="D55" s="5"/>
      <c r="E55" s="5"/>
      <c r="F55" s="5"/>
      <c r="G55" s="5"/>
      <c r="H55" s="1"/>
    </row>
    <row r="56" spans="1:8" x14ac:dyDescent="0.3">
      <c r="A56" s="6"/>
      <c r="B56" s="5"/>
      <c r="C56" s="5"/>
      <c r="D56" s="5"/>
      <c r="E56" s="5"/>
      <c r="F56" s="5"/>
      <c r="G56" s="5"/>
      <c r="H56" s="1"/>
    </row>
    <row r="57" spans="1:8" x14ac:dyDescent="0.3">
      <c r="A57" s="6"/>
      <c r="B57" s="5"/>
      <c r="C57" s="5"/>
      <c r="D57" s="5"/>
      <c r="E57" s="5"/>
      <c r="F57" s="5"/>
      <c r="G57" s="5"/>
      <c r="H57" s="1"/>
    </row>
    <row r="58" spans="1:8" x14ac:dyDescent="0.3">
      <c r="A58" s="6"/>
      <c r="B58" s="5"/>
      <c r="C58" s="5"/>
      <c r="D58" s="5"/>
      <c r="E58" s="5"/>
      <c r="F58" s="5"/>
      <c r="G58" s="5"/>
      <c r="H58" s="1"/>
    </row>
    <row r="59" spans="1:8" x14ac:dyDescent="0.3">
      <c r="A59" s="6"/>
      <c r="B59" s="5"/>
      <c r="C59" s="5"/>
      <c r="D59" s="5"/>
      <c r="E59" s="5"/>
      <c r="F59" s="5"/>
      <c r="G59" s="5"/>
      <c r="H59" s="1"/>
    </row>
    <row r="60" spans="1:8" x14ac:dyDescent="0.3">
      <c r="A60" s="6"/>
      <c r="B60" s="5"/>
      <c r="C60" s="5"/>
      <c r="D60" s="5"/>
      <c r="E60" s="5"/>
      <c r="F60" s="5"/>
      <c r="G60" s="5"/>
      <c r="H60" s="1"/>
    </row>
    <row r="61" spans="1:8" x14ac:dyDescent="0.3">
      <c r="A61" s="6"/>
      <c r="B61" s="5"/>
      <c r="C61" s="5"/>
      <c r="D61" s="5"/>
      <c r="E61" s="5"/>
      <c r="F61" s="5"/>
      <c r="G61" s="5"/>
      <c r="H61" s="1"/>
    </row>
    <row r="62" spans="1:8" x14ac:dyDescent="0.3">
      <c r="A62" s="6"/>
      <c r="B62" s="5"/>
      <c r="C62" s="5"/>
      <c r="D62" s="5"/>
      <c r="E62" s="5"/>
      <c r="F62" s="5"/>
      <c r="G62" s="5"/>
      <c r="H62" s="1"/>
    </row>
    <row r="63" spans="1:8" x14ac:dyDescent="0.3">
      <c r="A63" s="6"/>
      <c r="B63" s="5"/>
      <c r="C63" s="5"/>
      <c r="D63" s="5"/>
      <c r="E63" s="5"/>
      <c r="F63" s="5"/>
      <c r="G63" s="5"/>
      <c r="H63" s="1"/>
    </row>
    <row r="64" spans="1:8" x14ac:dyDescent="0.3">
      <c r="A64" s="6"/>
      <c r="B64" s="5"/>
      <c r="C64" s="5"/>
      <c r="D64" s="5"/>
      <c r="E64" s="5"/>
      <c r="F64" s="5"/>
      <c r="G64" s="5"/>
      <c r="H64" s="1"/>
    </row>
    <row r="65" spans="1:8" x14ac:dyDescent="0.3">
      <c r="A65" s="6"/>
      <c r="B65" s="5"/>
      <c r="C65" s="5"/>
      <c r="D65" s="5"/>
      <c r="E65" s="5"/>
      <c r="F65" s="5"/>
      <c r="G65" s="5"/>
      <c r="H65" s="1"/>
    </row>
    <row r="66" spans="1:8" x14ac:dyDescent="0.3">
      <c r="A66" s="6"/>
      <c r="B66" s="5"/>
      <c r="C66" s="5"/>
      <c r="D66" s="5"/>
      <c r="E66" s="5"/>
      <c r="F66" s="5"/>
      <c r="G66" s="5"/>
      <c r="H66" s="1"/>
    </row>
    <row r="67" spans="1:8" x14ac:dyDescent="0.3">
      <c r="A67" s="6"/>
      <c r="B67" s="5"/>
      <c r="C67" s="5"/>
      <c r="D67" s="5"/>
      <c r="E67" s="5"/>
      <c r="F67" s="5"/>
      <c r="G67" s="5"/>
      <c r="H67" s="1"/>
    </row>
    <row r="68" spans="1:8" x14ac:dyDescent="0.3">
      <c r="A68" s="6"/>
      <c r="B68" s="5"/>
      <c r="C68" s="5"/>
      <c r="D68" s="5"/>
      <c r="E68" s="5"/>
      <c r="F68" s="5"/>
      <c r="G68" s="5"/>
      <c r="H68" s="1"/>
    </row>
    <row r="69" spans="1:8" x14ac:dyDescent="0.3">
      <c r="A69" s="6"/>
      <c r="B69" s="5"/>
      <c r="C69" s="5"/>
      <c r="D69" s="5"/>
      <c r="E69" s="5"/>
      <c r="F69" s="5"/>
      <c r="G69" s="5"/>
      <c r="H69" s="1"/>
    </row>
    <row r="70" spans="1:8" x14ac:dyDescent="0.3">
      <c r="A70" s="6"/>
      <c r="B70" s="5"/>
      <c r="C70" s="5"/>
      <c r="D70" s="5"/>
      <c r="E70" s="5"/>
      <c r="F70" s="5"/>
      <c r="G70" s="5"/>
      <c r="H70" s="1"/>
    </row>
    <row r="71" spans="1:8" x14ac:dyDescent="0.3">
      <c r="A71" s="6"/>
      <c r="B71" s="5"/>
      <c r="C71" s="5"/>
      <c r="D71" s="5"/>
      <c r="E71" s="5"/>
      <c r="F71" s="5"/>
      <c r="G71" s="5"/>
      <c r="H71" s="1"/>
    </row>
    <row r="72" spans="1:8" x14ac:dyDescent="0.3">
      <c r="A72" s="6"/>
      <c r="B72" s="5"/>
      <c r="C72" s="5"/>
      <c r="D72" s="5"/>
      <c r="E72" s="5"/>
      <c r="F72" s="5"/>
      <c r="G72" s="5"/>
      <c r="H72" s="1"/>
    </row>
    <row r="73" spans="1:8" x14ac:dyDescent="0.3">
      <c r="A73" s="6"/>
      <c r="B73" s="5"/>
      <c r="C73" s="5"/>
      <c r="D73" s="5"/>
      <c r="E73" s="5"/>
      <c r="F73" s="5"/>
      <c r="G73" s="5"/>
      <c r="H73" s="1"/>
    </row>
    <row r="74" spans="1:8" x14ac:dyDescent="0.3">
      <c r="A74" s="6"/>
      <c r="B74" s="5"/>
      <c r="C74" s="5"/>
      <c r="D74" s="5"/>
      <c r="E74" s="5"/>
      <c r="F74" s="5"/>
      <c r="G74" s="5"/>
      <c r="H74" s="1"/>
    </row>
    <row r="75" spans="1:8" x14ac:dyDescent="0.3">
      <c r="A75" s="6"/>
      <c r="B75" s="5"/>
      <c r="C75" s="5"/>
      <c r="D75" s="5"/>
      <c r="E75" s="5"/>
      <c r="F75" s="5"/>
      <c r="G75" s="5"/>
      <c r="H75" s="1"/>
    </row>
    <row r="76" spans="1:8" x14ac:dyDescent="0.3">
      <c r="A76" s="6"/>
      <c r="B76" s="5"/>
      <c r="C76" s="5"/>
      <c r="D76" s="5"/>
      <c r="E76" s="5"/>
      <c r="F76" s="5"/>
      <c r="G76" s="5"/>
      <c r="H76" s="1"/>
    </row>
    <row r="77" spans="1:8" x14ac:dyDescent="0.3">
      <c r="A77" s="6"/>
      <c r="B77" s="5"/>
      <c r="C77" s="5"/>
      <c r="D77" s="5"/>
      <c r="E77" s="5"/>
      <c r="F77" s="5"/>
      <c r="G77" s="5"/>
      <c r="H77" s="1"/>
    </row>
    <row r="78" spans="1:8" x14ac:dyDescent="0.3">
      <c r="A78" s="6"/>
      <c r="B78" s="5"/>
      <c r="C78" s="5"/>
      <c r="D78" s="5"/>
      <c r="E78" s="5"/>
      <c r="F78" s="5"/>
      <c r="G78" s="5"/>
      <c r="H78" s="1"/>
    </row>
    <row r="79" spans="1:8" x14ac:dyDescent="0.3">
      <c r="A79" s="6"/>
      <c r="B79" s="5"/>
      <c r="C79" s="5"/>
      <c r="D79" s="5"/>
      <c r="E79" s="5"/>
      <c r="F79" s="5"/>
      <c r="G79" s="5"/>
      <c r="H79" s="1"/>
    </row>
    <row r="80" spans="1:8" x14ac:dyDescent="0.3">
      <c r="A80" s="6"/>
      <c r="B80" s="5"/>
      <c r="C80" s="5"/>
      <c r="D80" s="5"/>
      <c r="E80" s="5"/>
      <c r="F80" s="5"/>
      <c r="G80" s="5"/>
      <c r="H80" s="1"/>
    </row>
    <row r="81" spans="1:8" x14ac:dyDescent="0.3">
      <c r="A81" s="6"/>
      <c r="B81" s="5"/>
      <c r="C81" s="5"/>
      <c r="D81" s="5"/>
      <c r="E81" s="5"/>
      <c r="F81" s="5"/>
      <c r="G81" s="5"/>
      <c r="H81" s="1"/>
    </row>
    <row r="82" spans="1:8" x14ac:dyDescent="0.3">
      <c r="A82" s="6"/>
      <c r="B82" s="5"/>
      <c r="C82" s="5"/>
      <c r="D82" s="5"/>
      <c r="E82" s="5"/>
      <c r="F82" s="5"/>
      <c r="G82" s="5"/>
      <c r="H82" s="1"/>
    </row>
    <row r="83" spans="1:8" x14ac:dyDescent="0.3">
      <c r="A83" s="6"/>
      <c r="B83" s="5"/>
      <c r="C83" s="5"/>
      <c r="D83" s="5"/>
      <c r="E83" s="5"/>
      <c r="F83" s="5"/>
      <c r="G83" s="5"/>
      <c r="H83" s="1"/>
    </row>
    <row r="84" spans="1:8" x14ac:dyDescent="0.3">
      <c r="A84" s="6"/>
      <c r="B84" s="5"/>
      <c r="C84" s="5"/>
      <c r="D84" s="5"/>
      <c r="E84" s="5"/>
      <c r="F84" s="5"/>
      <c r="G84" s="5"/>
      <c r="H84" s="1"/>
    </row>
    <row r="85" spans="1:8" x14ac:dyDescent="0.3">
      <c r="A85" s="6"/>
      <c r="B85" s="5"/>
      <c r="C85" s="5"/>
      <c r="D85" s="5"/>
      <c r="E85" s="5"/>
      <c r="F85" s="5"/>
      <c r="G85" s="5"/>
      <c r="H85" s="1"/>
    </row>
    <row r="86" spans="1:8" x14ac:dyDescent="0.3">
      <c r="A86" s="6"/>
      <c r="B86" s="5"/>
      <c r="C86" s="5"/>
      <c r="D86" s="5"/>
      <c r="E86" s="5"/>
      <c r="F86" s="5"/>
      <c r="G86" s="5"/>
      <c r="H86" s="1"/>
    </row>
    <row r="87" spans="1:8" x14ac:dyDescent="0.3">
      <c r="A87" s="6"/>
      <c r="B87" s="5"/>
      <c r="C87" s="5"/>
      <c r="D87" s="5"/>
      <c r="E87" s="5"/>
      <c r="F87" s="5"/>
      <c r="G87" s="5"/>
      <c r="H87" s="1"/>
    </row>
    <row r="88" spans="1:8" x14ac:dyDescent="0.3">
      <c r="A88" s="6"/>
      <c r="B88" s="5"/>
      <c r="C88" s="5"/>
      <c r="D88" s="5"/>
      <c r="E88" s="5"/>
      <c r="F88" s="5"/>
      <c r="G88" s="5"/>
      <c r="H88" s="1"/>
    </row>
    <row r="89" spans="1:8" x14ac:dyDescent="0.3">
      <c r="A89" s="6"/>
      <c r="B89" s="5"/>
      <c r="C89" s="5"/>
      <c r="D89" s="5"/>
      <c r="E89" s="5"/>
      <c r="F89" s="5"/>
      <c r="G89" s="5"/>
      <c r="H89" s="1"/>
    </row>
    <row r="90" spans="1:8" x14ac:dyDescent="0.3">
      <c r="A90" s="6"/>
      <c r="B90" s="5"/>
      <c r="C90" s="5"/>
      <c r="D90" s="5"/>
      <c r="E90" s="5"/>
      <c r="F90" s="5"/>
      <c r="G90" s="5"/>
      <c r="H90" s="1"/>
    </row>
    <row r="91" spans="1:8" x14ac:dyDescent="0.3">
      <c r="A91" s="6"/>
      <c r="B91" s="5"/>
      <c r="C91" s="5"/>
      <c r="D91" s="5"/>
      <c r="E91" s="5"/>
      <c r="F91" s="5"/>
      <c r="G91" s="5"/>
      <c r="H91" s="1"/>
    </row>
    <row r="92" spans="1:8" x14ac:dyDescent="0.3">
      <c r="A92" s="6"/>
      <c r="B92" s="5"/>
      <c r="C92" s="5"/>
      <c r="D92" s="5"/>
      <c r="E92" s="5"/>
      <c r="F92" s="5"/>
      <c r="G92" s="5"/>
      <c r="H92" s="1"/>
    </row>
    <row r="93" spans="1:8" x14ac:dyDescent="0.3">
      <c r="A93" s="6"/>
      <c r="B93" s="5"/>
      <c r="C93" s="5"/>
      <c r="D93" s="5"/>
      <c r="E93" s="5"/>
      <c r="F93" s="5"/>
      <c r="G93" s="5"/>
      <c r="H93" s="1"/>
    </row>
    <row r="94" spans="1:8" x14ac:dyDescent="0.3">
      <c r="A94" s="6"/>
      <c r="B94" s="5"/>
      <c r="C94" s="5"/>
      <c r="D94" s="5"/>
      <c r="E94" s="5"/>
      <c r="F94" s="5"/>
      <c r="G94" s="5"/>
      <c r="H94" s="1"/>
    </row>
    <row r="95" spans="1:8" x14ac:dyDescent="0.3">
      <c r="A95" s="6"/>
      <c r="B95" s="5"/>
      <c r="C95" s="5"/>
      <c r="D95" s="5"/>
      <c r="E95" s="5"/>
      <c r="F95" s="5"/>
      <c r="G95" s="5"/>
      <c r="H95" s="1"/>
    </row>
    <row r="96" spans="1:8" x14ac:dyDescent="0.3">
      <c r="A96" s="6"/>
      <c r="B96" s="5"/>
      <c r="C96" s="5"/>
      <c r="D96" s="5"/>
      <c r="E96" s="5"/>
      <c r="F96" s="5"/>
      <c r="G96" s="5"/>
      <c r="H96" s="1"/>
    </row>
    <row r="97" spans="1:8" x14ac:dyDescent="0.3">
      <c r="A97" s="6"/>
      <c r="B97" s="5"/>
      <c r="C97" s="5"/>
      <c r="D97" s="5"/>
      <c r="E97" s="5"/>
      <c r="F97" s="5"/>
      <c r="G97" s="5"/>
      <c r="H97" s="1"/>
    </row>
    <row r="98" spans="1:8" x14ac:dyDescent="0.3">
      <c r="A98" s="6"/>
      <c r="B98" s="5"/>
      <c r="C98" s="5"/>
      <c r="D98" s="5"/>
      <c r="E98" s="5"/>
      <c r="F98" s="5"/>
      <c r="G98" s="5"/>
      <c r="H98" s="1"/>
    </row>
    <row r="99" spans="1:8" x14ac:dyDescent="0.3">
      <c r="A99" s="6"/>
      <c r="B99" s="5"/>
      <c r="C99" s="5"/>
      <c r="D99" s="5"/>
      <c r="E99" s="5"/>
      <c r="F99" s="5"/>
      <c r="G99" s="5"/>
      <c r="H99" s="1"/>
    </row>
    <row r="100" spans="1:8" x14ac:dyDescent="0.3">
      <c r="A100" s="6"/>
      <c r="B100" s="5"/>
      <c r="C100" s="5"/>
      <c r="D100" s="5"/>
      <c r="E100" s="5"/>
      <c r="F100" s="5"/>
      <c r="G100" s="5"/>
      <c r="H100" s="1"/>
    </row>
    <row r="101" spans="1:8" x14ac:dyDescent="0.3">
      <c r="A101" s="6"/>
      <c r="B101" s="5"/>
      <c r="C101" s="5"/>
      <c r="D101" s="5"/>
      <c r="E101" s="5"/>
      <c r="F101" s="5"/>
      <c r="G101" s="5"/>
      <c r="H101" s="1"/>
    </row>
    <row r="102" spans="1:8" x14ac:dyDescent="0.3">
      <c r="A102" s="6"/>
      <c r="B102" s="5"/>
      <c r="C102" s="5"/>
      <c r="D102" s="5"/>
      <c r="E102" s="5"/>
      <c r="F102" s="5"/>
      <c r="G102" s="5"/>
      <c r="H102" s="1"/>
    </row>
    <row r="103" spans="1:8" x14ac:dyDescent="0.3">
      <c r="A103" s="6"/>
      <c r="B103" s="5"/>
      <c r="C103" s="5"/>
      <c r="D103" s="5"/>
      <c r="E103" s="5"/>
      <c r="F103" s="5"/>
      <c r="G103" s="5"/>
      <c r="H103" s="1"/>
    </row>
    <row r="104" spans="1:8" x14ac:dyDescent="0.3">
      <c r="A104" s="6"/>
      <c r="B104" s="5"/>
      <c r="C104" s="5"/>
      <c r="D104" s="5"/>
      <c r="E104" s="5"/>
      <c r="F104" s="5"/>
      <c r="G104" s="5"/>
      <c r="H104" s="1"/>
    </row>
    <row r="105" spans="1:8" x14ac:dyDescent="0.3">
      <c r="A105" s="6"/>
      <c r="B105" s="5"/>
      <c r="C105" s="5"/>
      <c r="D105" s="5"/>
      <c r="E105" s="5"/>
      <c r="F105" s="5"/>
      <c r="G105" s="5"/>
      <c r="H105" s="1"/>
    </row>
    <row r="106" spans="1:8" x14ac:dyDescent="0.3">
      <c r="A106" s="6"/>
      <c r="B106" s="5"/>
      <c r="C106" s="5"/>
      <c r="D106" s="5"/>
      <c r="E106" s="5"/>
      <c r="F106" s="5"/>
      <c r="G106" s="5"/>
      <c r="H106" s="1"/>
    </row>
    <row r="107" spans="1:8" x14ac:dyDescent="0.3">
      <c r="A107" s="6"/>
      <c r="B107" s="5"/>
      <c r="C107" s="5"/>
      <c r="D107" s="5"/>
      <c r="E107" s="5"/>
      <c r="F107" s="5"/>
      <c r="G107" s="5"/>
      <c r="H107" s="1"/>
    </row>
    <row r="108" spans="1:8" x14ac:dyDescent="0.3">
      <c r="A108" s="6"/>
      <c r="B108" s="5"/>
      <c r="C108" s="5"/>
      <c r="D108" s="5"/>
      <c r="E108" s="5"/>
      <c r="F108" s="5"/>
      <c r="G108" s="5"/>
      <c r="H108" s="1"/>
    </row>
    <row r="109" spans="1:8" x14ac:dyDescent="0.3">
      <c r="A109" s="6"/>
      <c r="B109" s="5"/>
      <c r="C109" s="5"/>
      <c r="D109" s="5"/>
      <c r="E109" s="5"/>
      <c r="F109" s="5"/>
      <c r="G109" s="5"/>
      <c r="H109" s="1"/>
    </row>
    <row r="110" spans="1:8" x14ac:dyDescent="0.3">
      <c r="A110" s="6"/>
      <c r="B110" s="5"/>
      <c r="C110" s="5"/>
      <c r="D110" s="5"/>
      <c r="E110" s="5"/>
      <c r="F110" s="5"/>
      <c r="G110" s="5"/>
      <c r="H110" s="1"/>
    </row>
    <row r="111" spans="1:8" x14ac:dyDescent="0.3">
      <c r="A111" s="6"/>
      <c r="B111" s="5"/>
      <c r="C111" s="5"/>
      <c r="D111" s="5"/>
      <c r="E111" s="5"/>
      <c r="F111" s="5"/>
      <c r="G111" s="5"/>
      <c r="H111" s="1"/>
    </row>
    <row r="112" spans="1:8" x14ac:dyDescent="0.3">
      <c r="A112" s="6"/>
      <c r="B112" s="5"/>
      <c r="C112" s="5"/>
      <c r="D112" s="5"/>
      <c r="E112" s="5"/>
      <c r="F112" s="5"/>
      <c r="G112" s="5"/>
      <c r="H112" s="1"/>
    </row>
    <row r="113" spans="1:8" x14ac:dyDescent="0.3">
      <c r="A113" s="6"/>
      <c r="B113" s="5"/>
      <c r="C113" s="5"/>
      <c r="D113" s="5"/>
      <c r="E113" s="5"/>
      <c r="F113" s="5"/>
      <c r="G113" s="5"/>
      <c r="H113" s="1"/>
    </row>
    <row r="114" spans="1:8" x14ac:dyDescent="0.3">
      <c r="A114" s="6"/>
      <c r="B114" s="5"/>
      <c r="C114" s="5"/>
      <c r="D114" s="5"/>
      <c r="E114" s="5"/>
      <c r="F114" s="5"/>
      <c r="G114" s="5"/>
      <c r="H114" s="1"/>
    </row>
    <row r="115" spans="1:8" x14ac:dyDescent="0.3">
      <c r="A115" s="6"/>
      <c r="B115" s="5"/>
      <c r="C115" s="5"/>
      <c r="D115" s="5"/>
      <c r="E115" s="5"/>
      <c r="F115" s="5"/>
      <c r="G115" s="5"/>
      <c r="H115" s="1"/>
    </row>
    <row r="116" spans="1:8" x14ac:dyDescent="0.3">
      <c r="A116" s="6"/>
      <c r="B116" s="5"/>
      <c r="C116" s="5"/>
      <c r="D116" s="5"/>
      <c r="E116" s="5"/>
      <c r="F116" s="5"/>
      <c r="G116" s="5"/>
      <c r="H116" s="1"/>
    </row>
    <row r="117" spans="1:8" x14ac:dyDescent="0.3">
      <c r="A117" s="6"/>
      <c r="B117" s="5"/>
      <c r="C117" s="5"/>
      <c r="D117" s="5"/>
      <c r="E117" s="5"/>
      <c r="F117" s="5"/>
      <c r="G117" s="5"/>
      <c r="H117" s="1"/>
    </row>
    <row r="118" spans="1:8" x14ac:dyDescent="0.3">
      <c r="A118" s="6"/>
      <c r="B118" s="5"/>
      <c r="C118" s="5"/>
      <c r="D118" s="5"/>
      <c r="E118" s="5"/>
      <c r="F118" s="5"/>
      <c r="G118" s="5"/>
      <c r="H118" s="1"/>
    </row>
    <row r="119" spans="1:8" x14ac:dyDescent="0.3">
      <c r="A119" s="6"/>
      <c r="B119" s="5"/>
      <c r="C119" s="5"/>
      <c r="D119" s="5"/>
      <c r="E119" s="5"/>
      <c r="F119" s="5"/>
      <c r="G119" s="5"/>
      <c r="H119" s="1"/>
    </row>
    <row r="120" spans="1:8" x14ac:dyDescent="0.3">
      <c r="A120" s="6"/>
      <c r="B120" s="5"/>
      <c r="C120" s="5"/>
      <c r="D120" s="5"/>
      <c r="E120" s="5"/>
      <c r="F120" s="5"/>
      <c r="G120" s="5"/>
      <c r="H120" s="1"/>
    </row>
    <row r="121" spans="1:8" x14ac:dyDescent="0.3">
      <c r="A121" s="6"/>
      <c r="B121" s="5"/>
      <c r="C121" s="5"/>
      <c r="D121" s="5"/>
      <c r="E121" s="5"/>
      <c r="F121" s="5"/>
      <c r="G121" s="5"/>
      <c r="H121" s="1"/>
    </row>
    <row r="122" spans="1:8" x14ac:dyDescent="0.3">
      <c r="A122" s="6"/>
      <c r="B122" s="5"/>
      <c r="C122" s="5"/>
      <c r="D122" s="5"/>
      <c r="E122" s="5"/>
      <c r="F122" s="5"/>
      <c r="G122" s="5"/>
      <c r="H122" s="1"/>
    </row>
    <row r="123" spans="1:8" x14ac:dyDescent="0.3">
      <c r="A123" s="6"/>
      <c r="B123" s="5"/>
      <c r="C123" s="5"/>
      <c r="D123" s="5"/>
      <c r="E123" s="5"/>
      <c r="F123" s="5"/>
      <c r="G123" s="5"/>
      <c r="H123" s="1"/>
    </row>
    <row r="124" spans="1:8" x14ac:dyDescent="0.3">
      <c r="A124" s="6"/>
      <c r="B124" s="5"/>
      <c r="C124" s="5"/>
      <c r="D124" s="5"/>
      <c r="E124" s="5"/>
      <c r="F124" s="5"/>
      <c r="G124" s="5"/>
      <c r="H124" s="1"/>
    </row>
    <row r="125" spans="1:8" x14ac:dyDescent="0.3">
      <c r="A125" s="6"/>
      <c r="B125" s="5"/>
      <c r="C125" s="5"/>
      <c r="D125" s="5"/>
      <c r="E125" s="5"/>
      <c r="F125" s="5"/>
      <c r="G125" s="5"/>
      <c r="H125" s="1"/>
    </row>
    <row r="126" spans="1:8" x14ac:dyDescent="0.3">
      <c r="A126" s="6"/>
      <c r="B126" s="5"/>
      <c r="C126" s="5"/>
      <c r="D126" s="5"/>
      <c r="E126" s="5"/>
      <c r="F126" s="5"/>
      <c r="G126" s="5"/>
      <c r="H126" s="1"/>
    </row>
    <row r="127" spans="1:8" x14ac:dyDescent="0.3">
      <c r="A127" s="6"/>
      <c r="B127" s="5"/>
      <c r="C127" s="5"/>
      <c r="D127" s="5"/>
      <c r="E127" s="5"/>
      <c r="F127" s="5"/>
      <c r="G127" s="5"/>
      <c r="H127" s="1"/>
    </row>
    <row r="128" spans="1:8" x14ac:dyDescent="0.3">
      <c r="A128" s="6"/>
      <c r="B128" s="5"/>
      <c r="C128" s="5"/>
      <c r="D128" s="5"/>
      <c r="E128" s="5"/>
      <c r="F128" s="5"/>
      <c r="G128" s="5"/>
      <c r="H128" s="1"/>
    </row>
    <row r="129" spans="1:8" x14ac:dyDescent="0.3">
      <c r="A129" s="6"/>
      <c r="B129" s="5"/>
      <c r="C129" s="5"/>
      <c r="D129" s="5"/>
      <c r="E129" s="5"/>
      <c r="F129" s="5"/>
      <c r="G129" s="5"/>
      <c r="H129" s="1"/>
    </row>
    <row r="130" spans="1:8" x14ac:dyDescent="0.3">
      <c r="A130" s="6"/>
      <c r="B130" s="5"/>
      <c r="C130" s="5"/>
      <c r="D130" s="5"/>
      <c r="E130" s="5"/>
      <c r="F130" s="5"/>
      <c r="G130" s="5"/>
      <c r="H130" s="1"/>
    </row>
    <row r="131" spans="1:8" x14ac:dyDescent="0.3">
      <c r="A131" s="6"/>
      <c r="B131" s="5"/>
      <c r="C131" s="5"/>
      <c r="D131" s="5"/>
      <c r="E131" s="5"/>
      <c r="F131" s="5"/>
      <c r="G131" s="5"/>
      <c r="H131" s="1"/>
    </row>
    <row r="132" spans="1:8" x14ac:dyDescent="0.3">
      <c r="A132" s="6"/>
      <c r="B132" s="5"/>
      <c r="C132" s="5"/>
      <c r="D132" s="5"/>
      <c r="E132" s="5"/>
      <c r="F132" s="5"/>
      <c r="G132" s="5"/>
      <c r="H132" s="1"/>
    </row>
    <row r="133" spans="1:8" x14ac:dyDescent="0.3">
      <c r="A133" s="6"/>
      <c r="B133" s="5"/>
      <c r="C133" s="5"/>
      <c r="D133" s="5"/>
      <c r="E133" s="5"/>
      <c r="F133" s="5"/>
      <c r="G133" s="5"/>
      <c r="H133" s="1"/>
    </row>
    <row r="134" spans="1:8" x14ac:dyDescent="0.3">
      <c r="A134" s="6"/>
      <c r="B134" s="5"/>
      <c r="C134" s="5"/>
      <c r="D134" s="5"/>
      <c r="E134" s="5"/>
      <c r="F134" s="5"/>
      <c r="G134" s="5"/>
      <c r="H134" s="1"/>
    </row>
    <row r="135" spans="1:8" x14ac:dyDescent="0.3">
      <c r="A135" s="6"/>
      <c r="B135" s="5"/>
      <c r="C135" s="5"/>
      <c r="D135" s="5"/>
      <c r="E135" s="5"/>
      <c r="F135" s="5"/>
      <c r="G135" s="5"/>
      <c r="H135" s="1"/>
    </row>
    <row r="136" spans="1:8" x14ac:dyDescent="0.3">
      <c r="A136" s="6"/>
      <c r="B136" s="5"/>
      <c r="C136" s="5"/>
      <c r="D136" s="5"/>
      <c r="E136" s="5"/>
      <c r="F136" s="5"/>
      <c r="G136" s="5"/>
      <c r="H136" s="1"/>
    </row>
    <row r="137" spans="1:8" x14ac:dyDescent="0.3">
      <c r="A137" s="6"/>
      <c r="B137" s="5"/>
      <c r="C137" s="5"/>
      <c r="D137" s="5"/>
      <c r="E137" s="5"/>
      <c r="F137" s="5"/>
      <c r="G137" s="5"/>
      <c r="H137" s="1"/>
    </row>
    <row r="138" spans="1:8" x14ac:dyDescent="0.3">
      <c r="A138" s="6"/>
      <c r="B138" s="5"/>
      <c r="C138" s="5"/>
      <c r="D138" s="5"/>
      <c r="E138" s="5"/>
      <c r="F138" s="5"/>
      <c r="G138" s="5"/>
      <c r="H138" s="1"/>
    </row>
    <row r="139" spans="1:8" x14ac:dyDescent="0.3">
      <c r="A139" s="6"/>
      <c r="B139" s="5"/>
      <c r="C139" s="5"/>
      <c r="D139" s="5"/>
      <c r="E139" s="5"/>
      <c r="F139" s="5"/>
      <c r="G139" s="5"/>
      <c r="H139" s="1"/>
    </row>
    <row r="140" spans="1:8" x14ac:dyDescent="0.3">
      <c r="A140" s="6"/>
      <c r="B140" s="5"/>
      <c r="C140" s="5"/>
      <c r="D140" s="5"/>
      <c r="E140" s="5"/>
      <c r="F140" s="5"/>
      <c r="G140" s="5"/>
      <c r="H140" s="1"/>
    </row>
    <row r="141" spans="1:8" x14ac:dyDescent="0.3">
      <c r="A141" s="6"/>
      <c r="B141" s="5"/>
      <c r="C141" s="5"/>
      <c r="D141" s="5"/>
      <c r="E141" s="5"/>
      <c r="F141" s="5"/>
      <c r="G141" s="5"/>
      <c r="H141" s="1"/>
    </row>
    <row r="142" spans="1:8" x14ac:dyDescent="0.3">
      <c r="A142" s="6"/>
      <c r="B142" s="5"/>
      <c r="C142" s="5"/>
      <c r="D142" s="5"/>
      <c r="E142" s="5"/>
      <c r="F142" s="5"/>
      <c r="G142" s="5"/>
      <c r="H142" s="1"/>
    </row>
    <row r="143" spans="1:8" x14ac:dyDescent="0.3">
      <c r="A143" s="6"/>
      <c r="B143" s="5"/>
      <c r="C143" s="5"/>
      <c r="D143" s="5"/>
      <c r="E143" s="5"/>
      <c r="F143" s="5"/>
      <c r="G143" s="5"/>
      <c r="H143" s="1"/>
    </row>
    <row r="144" spans="1:8" x14ac:dyDescent="0.3">
      <c r="A144" s="6"/>
      <c r="B144" s="5"/>
      <c r="C144" s="5"/>
      <c r="D144" s="5"/>
      <c r="E144" s="5"/>
      <c r="F144" s="5"/>
      <c r="G144" s="5"/>
      <c r="H144" s="1"/>
    </row>
    <row r="145" spans="1:8" x14ac:dyDescent="0.3">
      <c r="A145" s="6"/>
      <c r="B145" s="5"/>
      <c r="C145" s="5"/>
      <c r="D145" s="5"/>
      <c r="E145" s="5"/>
      <c r="F145" s="5"/>
      <c r="G145" s="5"/>
      <c r="H145" s="1"/>
    </row>
    <row r="146" spans="1:8" x14ac:dyDescent="0.3">
      <c r="A146" s="6"/>
      <c r="B146" s="5"/>
      <c r="C146" s="5"/>
      <c r="D146" s="5"/>
      <c r="E146" s="5"/>
      <c r="F146" s="5"/>
      <c r="G146" s="5"/>
      <c r="H146" s="1"/>
    </row>
    <row r="147" spans="1:8" x14ac:dyDescent="0.3">
      <c r="A147" s="6"/>
      <c r="B147" s="5"/>
      <c r="C147" s="5"/>
      <c r="D147" s="5"/>
      <c r="E147" s="5"/>
      <c r="F147" s="5"/>
      <c r="G147" s="5"/>
      <c r="H147" s="1"/>
    </row>
    <row r="148" spans="1:8" x14ac:dyDescent="0.3">
      <c r="A148" s="6"/>
      <c r="B148" s="5"/>
      <c r="C148" s="5"/>
      <c r="D148" s="5"/>
      <c r="E148" s="5"/>
      <c r="F148" s="5"/>
      <c r="G148" s="5"/>
      <c r="H148" s="1"/>
    </row>
    <row r="149" spans="1:8" x14ac:dyDescent="0.3">
      <c r="A149" s="6"/>
      <c r="B149" s="5"/>
      <c r="C149" s="5"/>
      <c r="D149" s="5"/>
      <c r="E149" s="5"/>
      <c r="F149" s="5"/>
      <c r="G149" s="5"/>
      <c r="H149" s="1"/>
    </row>
    <row r="150" spans="1:8" x14ac:dyDescent="0.3">
      <c r="A150" s="6"/>
      <c r="B150" s="5"/>
      <c r="C150" s="5"/>
      <c r="D150" s="5"/>
      <c r="E150" s="5"/>
      <c r="F150" s="5"/>
      <c r="G150" s="5"/>
      <c r="H150" s="1"/>
    </row>
    <row r="151" spans="1:8" x14ac:dyDescent="0.3">
      <c r="A151" s="6"/>
      <c r="B151" s="5"/>
      <c r="C151" s="5"/>
      <c r="D151" s="5"/>
      <c r="E151" s="5"/>
      <c r="F151" s="5"/>
      <c r="G151" s="5"/>
      <c r="H151" s="1"/>
    </row>
    <row r="152" spans="1:8" x14ac:dyDescent="0.3">
      <c r="A152" s="6"/>
      <c r="B152" s="5"/>
      <c r="C152" s="5"/>
      <c r="D152" s="5"/>
      <c r="E152" s="5"/>
      <c r="F152" s="5"/>
      <c r="G152" s="5"/>
      <c r="H152" s="1"/>
    </row>
    <row r="153" spans="1:8" x14ac:dyDescent="0.3">
      <c r="A153" s="6"/>
      <c r="B153" s="5"/>
      <c r="C153" s="5"/>
      <c r="D153" s="5"/>
      <c r="E153" s="5"/>
      <c r="F153" s="5"/>
      <c r="G153" s="5"/>
      <c r="H153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5D15-0656-42D1-A18C-DCC05CC69805}">
  <dimension ref="A1:H29"/>
  <sheetViews>
    <sheetView workbookViewId="0">
      <selection activeCell="E25" sqref="E25"/>
    </sheetView>
  </sheetViews>
  <sheetFormatPr baseColWidth="10" defaultRowHeight="16.5" x14ac:dyDescent="0.3"/>
  <sheetData>
    <row r="1" spans="1:8" x14ac:dyDescent="0.3">
      <c r="A1" s="17" t="s">
        <v>28</v>
      </c>
      <c r="B1" s="17"/>
      <c r="C1" s="17"/>
      <c r="D1" s="17"/>
      <c r="E1" s="17"/>
      <c r="F1" s="17"/>
      <c r="G1" s="17"/>
      <c r="H1" s="17"/>
    </row>
    <row r="2" spans="1:8" x14ac:dyDescent="0.3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12</v>
      </c>
      <c r="G2" s="7" t="s">
        <v>10</v>
      </c>
      <c r="H2" s="7" t="s">
        <v>11</v>
      </c>
    </row>
    <row r="3" spans="1:8" x14ac:dyDescent="0.3">
      <c r="A3" s="9">
        <v>1</v>
      </c>
      <c r="B3" s="4">
        <v>7</v>
      </c>
      <c r="C3" s="4">
        <v>8</v>
      </c>
      <c r="D3" s="4">
        <f>(B3+C3)/2</f>
        <v>7.5</v>
      </c>
      <c r="E3" s="4">
        <f>B3^3 - EXP(0.8*B3) - 20</f>
        <v>52.573592573847236</v>
      </c>
      <c r="F3" s="4">
        <f>D3^3 - EXP(0.8*D3) - 20</f>
        <v>-1.5537934927351102</v>
      </c>
      <c r="G3" s="4">
        <f>ABS(C3-B3)/2</f>
        <v>0.5</v>
      </c>
      <c r="H3" s="4" t="str">
        <f>IF(OR(ABS(F3)&lt;=CONFIG!$B$5,G3&lt;=CONFIG!$B$5),"✓","→")</f>
        <v>→</v>
      </c>
    </row>
    <row r="4" spans="1:8" x14ac:dyDescent="0.3">
      <c r="A4" s="7">
        <f>A3+1</f>
        <v>2</v>
      </c>
      <c r="B4" s="4">
        <f>IF(E3*F3&lt;0,B3,D3)</f>
        <v>7</v>
      </c>
      <c r="C4" s="4">
        <f>IF(E3*F3&lt;0,D3,C3)</f>
        <v>7.5</v>
      </c>
      <c r="D4" s="4">
        <f>(B4+C4)/2</f>
        <v>7.25</v>
      </c>
      <c r="E4" s="4">
        <f>B4^3 - EXP(0.8*B4) - 20</f>
        <v>52.573592573847236</v>
      </c>
      <c r="F4" s="4">
        <f>D4^3 - EXP(0.8*D4) - 20</f>
        <v>30.778565090351094</v>
      </c>
      <c r="G4" s="4">
        <f>ABS(C4-B4)/2</f>
        <v>0.25</v>
      </c>
      <c r="H4" s="4" t="str">
        <f>IF(OR(ABS(F4)&lt;=CONFIG!$B$5,G4&lt;=CONFIG!$B$5),"✓","→")</f>
        <v>→</v>
      </c>
    </row>
    <row r="5" spans="1:8" x14ac:dyDescent="0.3">
      <c r="A5" s="7">
        <f t="shared" ref="A5:A23" si="0">A4+1</f>
        <v>3</v>
      </c>
      <c r="B5" s="4">
        <f t="shared" ref="B5:B23" si="1">IF(E4*F4&lt;0,B4,D4)</f>
        <v>7.25</v>
      </c>
      <c r="C5" s="4">
        <f t="shared" ref="C5:C23" si="2">IF(E4*F4&lt;0,D4,C4)</f>
        <v>7.5</v>
      </c>
      <c r="D5" s="4">
        <f t="shared" ref="D5:D23" si="3">(B5+C5)/2</f>
        <v>7.375</v>
      </c>
      <c r="E5" s="4">
        <f t="shared" ref="E5:E23" si="4">B5^3 - EXP(0.8*B5) - 20</f>
        <v>30.778565090351094</v>
      </c>
      <c r="F5" s="4">
        <f t="shared" ref="F5:F23" si="5">D5^3 - EXP(0.8*D5) - 20</f>
        <v>16.093391509671108</v>
      </c>
      <c r="G5" s="4">
        <f t="shared" ref="G5:G23" si="6">ABS(C5-B5)/2</f>
        <v>0.125</v>
      </c>
      <c r="H5" s="4" t="str">
        <f>IF(OR(ABS(F5)&lt;=CONFIG!$B$5,G5&lt;=CONFIG!$B$5),"✓","→")</f>
        <v>→</v>
      </c>
    </row>
    <row r="6" spans="1:8" x14ac:dyDescent="0.3">
      <c r="A6" s="7">
        <f t="shared" si="0"/>
        <v>4</v>
      </c>
      <c r="B6" s="4">
        <f t="shared" si="1"/>
        <v>7.375</v>
      </c>
      <c r="C6" s="4">
        <f t="shared" si="2"/>
        <v>7.5</v>
      </c>
      <c r="D6" s="4">
        <f t="shared" si="3"/>
        <v>7.4375</v>
      </c>
      <c r="E6" s="4">
        <f t="shared" si="4"/>
        <v>16.093391509671108</v>
      </c>
      <c r="F6" s="4">
        <f t="shared" si="5"/>
        <v>7.6624324232631125</v>
      </c>
      <c r="G6" s="4">
        <f t="shared" si="6"/>
        <v>6.25E-2</v>
      </c>
      <c r="H6" s="4" t="str">
        <f>IF(OR(ABS(F6)&lt;=CONFIG!$B$5,G6&lt;=CONFIG!$B$5),"✓","→")</f>
        <v>→</v>
      </c>
    </row>
    <row r="7" spans="1:8" x14ac:dyDescent="0.3">
      <c r="A7" s="7">
        <f t="shared" si="0"/>
        <v>5</v>
      </c>
      <c r="B7" s="4">
        <f t="shared" si="1"/>
        <v>7.4375</v>
      </c>
      <c r="C7" s="4">
        <f t="shared" si="2"/>
        <v>7.5</v>
      </c>
      <c r="D7" s="4">
        <f t="shared" si="3"/>
        <v>7.46875</v>
      </c>
      <c r="E7" s="4">
        <f t="shared" si="4"/>
        <v>7.6624324232631125</v>
      </c>
      <c r="F7" s="4">
        <f t="shared" si="5"/>
        <v>3.1554035475757587</v>
      </c>
      <c r="G7" s="4">
        <f t="shared" si="6"/>
        <v>3.125E-2</v>
      </c>
      <c r="H7" s="4" t="str">
        <f>IF(OR(ABS(F7)&lt;=CONFIG!$B$5,G7&lt;=CONFIG!$B$5),"✓","→")</f>
        <v>→</v>
      </c>
    </row>
    <row r="8" spans="1:8" x14ac:dyDescent="0.3">
      <c r="A8" s="7">
        <f t="shared" si="0"/>
        <v>6</v>
      </c>
      <c r="B8" s="4">
        <f t="shared" si="1"/>
        <v>7.46875</v>
      </c>
      <c r="C8" s="4">
        <f t="shared" si="2"/>
        <v>7.5</v>
      </c>
      <c r="D8" s="4">
        <f t="shared" si="3"/>
        <v>7.484375</v>
      </c>
      <c r="E8" s="4">
        <f t="shared" si="4"/>
        <v>3.1554035475757587</v>
      </c>
      <c r="F8" s="4">
        <f t="shared" si="5"/>
        <v>0.8264500659092846</v>
      </c>
      <c r="G8" s="4">
        <f t="shared" si="6"/>
        <v>1.5625E-2</v>
      </c>
      <c r="H8" s="4" t="str">
        <f>IF(OR(ABS(F8)&lt;=CONFIG!$B$5,G8&lt;=CONFIG!$B$5),"✓","→")</f>
        <v>→</v>
      </c>
    </row>
    <row r="9" spans="1:8" x14ac:dyDescent="0.3">
      <c r="A9" s="7">
        <f t="shared" si="0"/>
        <v>7</v>
      </c>
      <c r="B9" s="4">
        <f t="shared" si="1"/>
        <v>7.484375</v>
      </c>
      <c r="C9" s="4">
        <f t="shared" si="2"/>
        <v>7.5</v>
      </c>
      <c r="D9" s="4">
        <f t="shared" si="3"/>
        <v>7.4921875</v>
      </c>
      <c r="E9" s="4">
        <f t="shared" si="4"/>
        <v>0.8264500659092846</v>
      </c>
      <c r="F9" s="4">
        <f t="shared" si="5"/>
        <v>-0.35721317290773413</v>
      </c>
      <c r="G9" s="4">
        <f t="shared" si="6"/>
        <v>7.8125E-3</v>
      </c>
      <c r="H9" s="4" t="str">
        <f>IF(OR(ABS(F9)&lt;=CONFIG!$B$5,G9&lt;=CONFIG!$B$5),"✓","→")</f>
        <v>→</v>
      </c>
    </row>
    <row r="10" spans="1:8" x14ac:dyDescent="0.3">
      <c r="A10" s="7">
        <f t="shared" si="0"/>
        <v>8</v>
      </c>
      <c r="B10" s="4">
        <f t="shared" si="1"/>
        <v>7.484375</v>
      </c>
      <c r="C10" s="4">
        <f t="shared" si="2"/>
        <v>7.4921875</v>
      </c>
      <c r="D10" s="4">
        <f t="shared" si="3"/>
        <v>7.48828125</v>
      </c>
      <c r="E10" s="4">
        <f t="shared" si="4"/>
        <v>0.8264500659092846</v>
      </c>
      <c r="F10" s="4">
        <f t="shared" si="5"/>
        <v>0.23622714772449172</v>
      </c>
      <c r="G10" s="4">
        <f t="shared" si="6"/>
        <v>3.90625E-3</v>
      </c>
      <c r="H10" s="4" t="str">
        <f>IF(OR(ABS(F10)&lt;=CONFIG!$B$5,G10&lt;=CONFIG!$B$5),"✓","→")</f>
        <v>→</v>
      </c>
    </row>
    <row r="11" spans="1:8" x14ac:dyDescent="0.3">
      <c r="A11" s="7">
        <f t="shared" si="0"/>
        <v>9</v>
      </c>
      <c r="B11" s="4">
        <f t="shared" si="1"/>
        <v>7.48828125</v>
      </c>
      <c r="C11" s="4">
        <f t="shared" si="2"/>
        <v>7.4921875</v>
      </c>
      <c r="D11" s="4">
        <f t="shared" si="3"/>
        <v>7.490234375</v>
      </c>
      <c r="E11" s="4">
        <f t="shared" si="4"/>
        <v>0.23622714772449172</v>
      </c>
      <c r="F11" s="4">
        <f t="shared" si="5"/>
        <v>-6.0090097039847024E-2</v>
      </c>
      <c r="G11" s="4">
        <f t="shared" si="6"/>
        <v>1.953125E-3</v>
      </c>
      <c r="H11" s="4" t="str">
        <f>IF(OR(ABS(F11)&lt;=CONFIG!$B$5,G11&lt;=CONFIG!$B$5),"✓","→")</f>
        <v>→</v>
      </c>
    </row>
    <row r="12" spans="1:8" x14ac:dyDescent="0.3">
      <c r="A12" s="7">
        <f t="shared" si="0"/>
        <v>10</v>
      </c>
      <c r="B12" s="4">
        <f t="shared" si="1"/>
        <v>7.48828125</v>
      </c>
      <c r="C12" s="4">
        <f t="shared" si="2"/>
        <v>7.490234375</v>
      </c>
      <c r="D12" s="4">
        <f t="shared" si="3"/>
        <v>7.4892578125</v>
      </c>
      <c r="E12" s="4">
        <f t="shared" si="4"/>
        <v>0.23622714772449172</v>
      </c>
      <c r="F12" s="4">
        <f t="shared" si="5"/>
        <v>8.8169161606231228E-2</v>
      </c>
      <c r="G12" s="4">
        <f t="shared" si="6"/>
        <v>9.765625E-4</v>
      </c>
      <c r="H12" s="4" t="str">
        <f>IF(OR(ABS(F12)&lt;=CONFIG!$B$5,G12&lt;=CONFIG!$B$5),"✓","→")</f>
        <v>→</v>
      </c>
    </row>
    <row r="13" spans="1:8" x14ac:dyDescent="0.3">
      <c r="A13" s="7">
        <f t="shared" si="0"/>
        <v>11</v>
      </c>
      <c r="B13" s="4">
        <f t="shared" si="1"/>
        <v>7.4892578125</v>
      </c>
      <c r="C13" s="4">
        <f t="shared" si="2"/>
        <v>7.490234375</v>
      </c>
      <c r="D13" s="4">
        <f t="shared" si="3"/>
        <v>7.48974609375</v>
      </c>
      <c r="E13" s="4">
        <f t="shared" si="4"/>
        <v>8.8169161606231228E-2</v>
      </c>
      <c r="F13" s="4">
        <f t="shared" si="5"/>
        <v>1.406470292135964E-2</v>
      </c>
      <c r="G13" s="4">
        <f t="shared" si="6"/>
        <v>4.8828125E-4</v>
      </c>
      <c r="H13" s="4" t="str">
        <f>IF(OR(ABS(F13)&lt;=CONFIG!$B$5,G13&lt;=CONFIG!$B$5),"✓","→")</f>
        <v>→</v>
      </c>
    </row>
    <row r="14" spans="1:8" x14ac:dyDescent="0.3">
      <c r="A14" s="7">
        <f t="shared" si="0"/>
        <v>12</v>
      </c>
      <c r="B14" s="4">
        <f t="shared" si="1"/>
        <v>7.48974609375</v>
      </c>
      <c r="C14" s="4">
        <f t="shared" si="2"/>
        <v>7.490234375</v>
      </c>
      <c r="D14" s="4">
        <f t="shared" si="3"/>
        <v>7.489990234375</v>
      </c>
      <c r="E14" s="4">
        <f t="shared" si="4"/>
        <v>1.406470292135964E-2</v>
      </c>
      <c r="F14" s="4">
        <f t="shared" si="5"/>
        <v>-2.300640295266021E-2</v>
      </c>
      <c r="G14" s="4">
        <f t="shared" si="6"/>
        <v>2.44140625E-4</v>
      </c>
      <c r="H14" s="4" t="str">
        <f>IF(OR(ABS(F14)&lt;=CONFIG!$B$5,G14&lt;=CONFIG!$B$5),"✓","→")</f>
        <v>→</v>
      </c>
    </row>
    <row r="15" spans="1:8" x14ac:dyDescent="0.3">
      <c r="A15" s="7">
        <f t="shared" si="0"/>
        <v>13</v>
      </c>
      <c r="B15" s="4">
        <f t="shared" si="1"/>
        <v>7.48974609375</v>
      </c>
      <c r="C15" s="4">
        <f t="shared" si="2"/>
        <v>7.489990234375</v>
      </c>
      <c r="D15" s="4">
        <f t="shared" si="3"/>
        <v>7.4898681640625</v>
      </c>
      <c r="E15" s="4">
        <f t="shared" si="4"/>
        <v>1.406470292135964E-2</v>
      </c>
      <c r="F15" s="4">
        <f t="shared" si="5"/>
        <v>-4.4692766700791253E-3</v>
      </c>
      <c r="G15" s="4">
        <f t="shared" si="6"/>
        <v>1.220703125E-4</v>
      </c>
      <c r="H15" s="4" t="str">
        <f>IF(OR(ABS(F15)&lt;=CONFIG!$B$5,G15&lt;=CONFIG!$B$5),"✓","→")</f>
        <v>→</v>
      </c>
    </row>
    <row r="16" spans="1:8" x14ac:dyDescent="0.3">
      <c r="A16" s="7">
        <f t="shared" si="0"/>
        <v>14</v>
      </c>
      <c r="B16" s="4">
        <f t="shared" si="1"/>
        <v>7.48974609375</v>
      </c>
      <c r="C16" s="4">
        <f t="shared" si="2"/>
        <v>7.4898681640625</v>
      </c>
      <c r="D16" s="4">
        <f t="shared" si="3"/>
        <v>7.48980712890625</v>
      </c>
      <c r="E16" s="4">
        <f t="shared" si="4"/>
        <v>1.406470292135964E-2</v>
      </c>
      <c r="F16" s="4">
        <f t="shared" si="5"/>
        <v>4.7981064394662098E-3</v>
      </c>
      <c r="G16" s="4">
        <f t="shared" si="6"/>
        <v>6.103515625E-5</v>
      </c>
      <c r="H16" s="4" t="str">
        <f>IF(OR(ABS(F16)&lt;=CONFIG!$B$5,G16&lt;=CONFIG!$B$5),"✓","→")</f>
        <v>→</v>
      </c>
    </row>
    <row r="17" spans="1:8" x14ac:dyDescent="0.3">
      <c r="A17" s="7">
        <f t="shared" si="0"/>
        <v>15</v>
      </c>
      <c r="B17" s="4">
        <f t="shared" si="1"/>
        <v>7.48980712890625</v>
      </c>
      <c r="C17" s="4">
        <f t="shared" si="2"/>
        <v>7.4898681640625</v>
      </c>
      <c r="D17" s="4">
        <f t="shared" si="3"/>
        <v>7.489837646484375</v>
      </c>
      <c r="E17" s="4">
        <f t="shared" si="4"/>
        <v>4.7981064394662098E-3</v>
      </c>
      <c r="F17" s="4">
        <f t="shared" si="5"/>
        <v>1.6451321619115333E-4</v>
      </c>
      <c r="G17" s="4">
        <f t="shared" si="6"/>
        <v>3.0517578125E-5</v>
      </c>
      <c r="H17" s="4" t="str">
        <f>IF(OR(ABS(F17)&lt;=CONFIG!$B$5,G17&lt;=CONFIG!$B$5),"✓","→")</f>
        <v>→</v>
      </c>
    </row>
    <row r="18" spans="1:8" x14ac:dyDescent="0.3">
      <c r="A18" s="7">
        <f t="shared" si="0"/>
        <v>16</v>
      </c>
      <c r="B18" s="4">
        <f t="shared" si="1"/>
        <v>7.489837646484375</v>
      </c>
      <c r="C18" s="4">
        <f t="shared" si="2"/>
        <v>7.4898681640625</v>
      </c>
      <c r="D18" s="4">
        <f t="shared" si="3"/>
        <v>7.4898529052734375</v>
      </c>
      <c r="E18" s="4">
        <f t="shared" si="4"/>
        <v>1.6451321619115333E-4</v>
      </c>
      <c r="F18" s="4">
        <f t="shared" si="5"/>
        <v>-2.1523571436432576E-3</v>
      </c>
      <c r="G18" s="4">
        <f t="shared" si="6"/>
        <v>1.52587890625E-5</v>
      </c>
      <c r="H18" s="4" t="str">
        <f>IF(OR(ABS(F18)&lt;=CONFIG!$B$5,G18&lt;=CONFIG!$B$5),"✓","→")</f>
        <v>→</v>
      </c>
    </row>
    <row r="19" spans="1:8" x14ac:dyDescent="0.3">
      <c r="A19" s="7">
        <f t="shared" si="0"/>
        <v>17</v>
      </c>
      <c r="B19" s="4">
        <f t="shared" si="1"/>
        <v>7.489837646484375</v>
      </c>
      <c r="C19" s="4">
        <f t="shared" si="2"/>
        <v>7.4898529052734375</v>
      </c>
      <c r="D19" s="4">
        <f t="shared" si="3"/>
        <v>7.4898452758789063</v>
      </c>
      <c r="E19" s="4">
        <f t="shared" si="4"/>
        <v>1.6451321619115333E-4</v>
      </c>
      <c r="F19" s="4">
        <f t="shared" si="5"/>
        <v>-9.939158181282437E-4</v>
      </c>
      <c r="G19" s="4">
        <f t="shared" si="6"/>
        <v>7.62939453125E-6</v>
      </c>
      <c r="H19" s="4" t="str">
        <f>IF(OR(ABS(F19)&lt;=CONFIG!$B$5,G19&lt;=CONFIG!$B$5),"✓","→")</f>
        <v>→</v>
      </c>
    </row>
    <row r="20" spans="1:8" x14ac:dyDescent="0.3">
      <c r="A20" s="7">
        <f t="shared" si="0"/>
        <v>18</v>
      </c>
      <c r="B20" s="4">
        <f t="shared" si="1"/>
        <v>7.489837646484375</v>
      </c>
      <c r="C20" s="4">
        <f t="shared" si="2"/>
        <v>7.4898452758789063</v>
      </c>
      <c r="D20" s="4">
        <f t="shared" si="3"/>
        <v>7.4898414611816406</v>
      </c>
      <c r="E20" s="4">
        <f t="shared" si="4"/>
        <v>1.6451321619115333E-4</v>
      </c>
      <c r="F20" s="4">
        <f t="shared" si="5"/>
        <v>-4.146997645761985E-4</v>
      </c>
      <c r="G20" s="4">
        <f t="shared" si="6"/>
        <v>3.814697265625E-6</v>
      </c>
      <c r="H20" s="4" t="str">
        <f>IF(OR(ABS(F20)&lt;=CONFIG!$B$5,G20&lt;=CONFIG!$B$5),"✓","→")</f>
        <v>→</v>
      </c>
    </row>
    <row r="21" spans="1:8" x14ac:dyDescent="0.3">
      <c r="A21" s="7">
        <f t="shared" si="0"/>
        <v>19</v>
      </c>
      <c r="B21" s="4">
        <f t="shared" si="1"/>
        <v>7.489837646484375</v>
      </c>
      <c r="C21" s="4">
        <f t="shared" si="2"/>
        <v>7.4898414611816406</v>
      </c>
      <c r="D21" s="4">
        <f t="shared" si="3"/>
        <v>7.4898395538330078</v>
      </c>
      <c r="E21" s="4">
        <f t="shared" si="4"/>
        <v>1.6451321619115333E-4</v>
      </c>
      <c r="F21" s="4">
        <f t="shared" si="5"/>
        <v>-1.2509289030049331E-4</v>
      </c>
      <c r="G21" s="4">
        <f t="shared" si="6"/>
        <v>1.9073486328125E-6</v>
      </c>
      <c r="H21" s="4" t="str">
        <f>IF(OR(ABS(F21)&lt;=CONFIG!$B$5,G21&lt;=CONFIG!$B$5),"✓","→")</f>
        <v>→</v>
      </c>
    </row>
    <row r="22" spans="1:8" x14ac:dyDescent="0.3">
      <c r="A22" s="7">
        <f t="shared" si="0"/>
        <v>20</v>
      </c>
      <c r="B22" s="4">
        <f t="shared" si="1"/>
        <v>7.489837646484375</v>
      </c>
      <c r="C22" s="4">
        <f t="shared" si="2"/>
        <v>7.4898395538330078</v>
      </c>
      <c r="D22" s="4">
        <f t="shared" si="3"/>
        <v>7.4898386001586914</v>
      </c>
      <c r="E22" s="4">
        <f t="shared" si="4"/>
        <v>1.6451321619115333E-4</v>
      </c>
      <c r="F22" s="4">
        <f t="shared" si="5"/>
        <v>1.9710259152816434E-5</v>
      </c>
      <c r="G22" s="4">
        <f t="shared" si="6"/>
        <v>9.5367431640625E-7</v>
      </c>
      <c r="H22" s="4" t="str">
        <f>IF(OR(ABS(F22)&lt;=CONFIG!$B$5,G22&lt;=CONFIG!$B$5),"✓","→")</f>
        <v>✓</v>
      </c>
    </row>
    <row r="23" spans="1:8" x14ac:dyDescent="0.3">
      <c r="A23" s="7">
        <f t="shared" si="0"/>
        <v>21</v>
      </c>
      <c r="B23" s="4">
        <f t="shared" si="1"/>
        <v>7.4898386001586914</v>
      </c>
      <c r="C23" s="4">
        <f t="shared" si="2"/>
        <v>7.4898395538330078</v>
      </c>
      <c r="D23" s="4">
        <f t="shared" si="3"/>
        <v>7.4898390769958496</v>
      </c>
      <c r="E23" s="4">
        <f t="shared" si="4"/>
        <v>1.9710259152816434E-5</v>
      </c>
      <c r="F23" s="4">
        <f t="shared" si="5"/>
        <v>-5.2691291557493969E-5</v>
      </c>
      <c r="G23" s="4">
        <f t="shared" si="6"/>
        <v>4.76837158203125E-7</v>
      </c>
      <c r="H23" s="4" t="str">
        <f>IF(OR(ABS(F23)&lt;=CONFIG!$B$5,G23&lt;=CONFIG!$B$5),"✓","→")</f>
        <v>✓</v>
      </c>
    </row>
    <row r="24" spans="1:8" x14ac:dyDescent="0.3">
      <c r="A24" s="1"/>
      <c r="B24" s="4"/>
      <c r="C24" s="4"/>
      <c r="D24" s="4"/>
      <c r="E24" s="4"/>
      <c r="F24" s="4"/>
      <c r="G24" s="4"/>
      <c r="H24" s="4"/>
    </row>
    <row r="25" spans="1:8" x14ac:dyDescent="0.3">
      <c r="A25" s="1"/>
      <c r="B25" s="4"/>
      <c r="C25" s="4"/>
      <c r="D25" s="4"/>
      <c r="E25" s="4"/>
      <c r="F25" s="4"/>
      <c r="G25" s="4"/>
      <c r="H25" s="4"/>
    </row>
    <row r="26" spans="1:8" x14ac:dyDescent="0.3">
      <c r="A26" s="1"/>
      <c r="B26" s="4"/>
      <c r="C26" s="4"/>
      <c r="D26" s="4"/>
      <c r="E26" s="4"/>
      <c r="F26" s="4"/>
      <c r="G26" s="4"/>
      <c r="H26" s="4"/>
    </row>
    <row r="27" spans="1:8" x14ac:dyDescent="0.3">
      <c r="A27" s="1"/>
      <c r="B27" s="4"/>
      <c r="C27" s="4"/>
      <c r="D27" s="4"/>
      <c r="E27" s="4"/>
      <c r="F27" s="4"/>
      <c r="G27" s="4"/>
      <c r="H27" s="4"/>
    </row>
    <row r="28" spans="1:8" x14ac:dyDescent="0.3">
      <c r="A28" s="1"/>
      <c r="B28" s="4"/>
      <c r="C28" s="4"/>
      <c r="D28" s="4"/>
      <c r="E28" s="4"/>
      <c r="F28" s="4"/>
      <c r="G28" s="4"/>
      <c r="H28" s="1"/>
    </row>
    <row r="29" spans="1:8" x14ac:dyDescent="0.3">
      <c r="A29" s="1"/>
      <c r="B29" s="4"/>
      <c r="C29" s="4"/>
      <c r="D29" s="4"/>
      <c r="E29" s="4"/>
      <c r="F29" s="4"/>
      <c r="G29" s="4"/>
      <c r="H29" s="1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B3D6-375E-426F-9B12-119BA2E6A84F}">
  <dimension ref="A1:D10"/>
  <sheetViews>
    <sheetView workbookViewId="0">
      <selection activeCell="C8" sqref="A4:C8"/>
    </sheetView>
  </sheetViews>
  <sheetFormatPr baseColWidth="10" defaultRowHeight="16.5" x14ac:dyDescent="0.3"/>
  <cols>
    <col min="1" max="1" width="16.875" customWidth="1"/>
    <col min="2" max="2" width="11.5" customWidth="1"/>
    <col min="3" max="3" width="13.25" customWidth="1"/>
  </cols>
  <sheetData>
    <row r="1" spans="1:4" x14ac:dyDescent="0.3">
      <c r="A1" s="15" t="s">
        <v>13</v>
      </c>
      <c r="B1" s="15"/>
      <c r="C1" s="15"/>
      <c r="D1" s="4"/>
    </row>
    <row r="2" spans="1:4" x14ac:dyDescent="0.3">
      <c r="A2" s="17" t="s">
        <v>33</v>
      </c>
      <c r="B2" s="17"/>
      <c r="C2" s="17"/>
      <c r="D2" s="4"/>
    </row>
    <row r="3" spans="1:4" x14ac:dyDescent="0.3">
      <c r="A3" s="4"/>
      <c r="B3" s="4"/>
      <c r="C3" s="4"/>
      <c r="D3" s="4"/>
    </row>
    <row r="4" spans="1:4" x14ac:dyDescent="0.3">
      <c r="A4" s="9" t="s">
        <v>14</v>
      </c>
      <c r="B4" s="4">
        <f>'RAÍZ 1'!D22</f>
        <v>3.2082204818725586</v>
      </c>
      <c r="C4" s="4">
        <f>'RAÍZ 1'!F22</f>
        <v>1.391058622601804E-5</v>
      </c>
      <c r="D4" s="4"/>
    </row>
    <row r="5" spans="1:4" x14ac:dyDescent="0.3">
      <c r="A5" s="9" t="s">
        <v>15</v>
      </c>
      <c r="B5" s="4">
        <f>COUNTIF('RAÍZ 1'!H3:H22,"→")+1</f>
        <v>20</v>
      </c>
      <c r="C5" s="4"/>
      <c r="D5" s="4"/>
    </row>
    <row r="6" spans="1:4" x14ac:dyDescent="0.3">
      <c r="A6" s="4"/>
      <c r="B6" s="4"/>
      <c r="C6" s="4"/>
      <c r="D6" s="4"/>
    </row>
    <row r="7" spans="1:4" x14ac:dyDescent="0.3">
      <c r="A7" s="7" t="s">
        <v>16</v>
      </c>
      <c r="B7" s="4">
        <f>'RAÍZ 2'!D22</f>
        <v>7.4898386001586914</v>
      </c>
      <c r="C7" s="1">
        <f>'RAÍZ 2'!F22</f>
        <v>1.9710259152816434E-5</v>
      </c>
      <c r="D7" s="4"/>
    </row>
    <row r="8" spans="1:4" x14ac:dyDescent="0.3">
      <c r="A8" s="7" t="s">
        <v>15</v>
      </c>
      <c r="B8" s="1">
        <f>COUNTIF('RAÍZ 2'!H3:H22,"→")+1</f>
        <v>20</v>
      </c>
      <c r="C8" s="4"/>
      <c r="D8" s="4"/>
    </row>
    <row r="9" spans="1:4" x14ac:dyDescent="0.3">
      <c r="A9" s="4"/>
      <c r="B9" s="4"/>
      <c r="C9" s="4"/>
      <c r="D9" s="4"/>
    </row>
    <row r="10" spans="1:4" x14ac:dyDescent="0.3">
      <c r="A10" s="4"/>
      <c r="B10" s="4"/>
      <c r="C10" s="4"/>
      <c r="D10" s="4"/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6E09-36D8-4559-8C62-B37D2103BE9F}">
  <dimension ref="A1:G135"/>
  <sheetViews>
    <sheetView zoomScale="98" zoomScaleNormal="98" workbookViewId="0">
      <selection activeCell="F15" sqref="F15"/>
    </sheetView>
  </sheetViews>
  <sheetFormatPr baseColWidth="10" defaultRowHeight="16.5" x14ac:dyDescent="0.3"/>
  <cols>
    <col min="1" max="2" width="11.5" customWidth="1"/>
    <col min="3" max="3" width="14.75" customWidth="1"/>
    <col min="4" max="4" width="18" customWidth="1"/>
    <col min="5" max="5" width="21.125" customWidth="1"/>
    <col min="6" max="6" width="24.625" customWidth="1"/>
    <col min="7" max="7" width="11.5" customWidth="1"/>
  </cols>
  <sheetData>
    <row r="1" spans="1:7" x14ac:dyDescent="0.3">
      <c r="A1" s="17" t="s">
        <v>27</v>
      </c>
      <c r="B1" s="17"/>
      <c r="C1" s="17"/>
      <c r="D1" s="17"/>
      <c r="E1" s="17"/>
      <c r="F1" s="17"/>
      <c r="G1" s="17"/>
    </row>
    <row r="2" spans="1:7" x14ac:dyDescent="0.3">
      <c r="A2" s="10" t="s">
        <v>5</v>
      </c>
      <c r="B2" s="10" t="s">
        <v>24</v>
      </c>
      <c r="C2" s="10" t="s">
        <v>23</v>
      </c>
      <c r="D2" s="10" t="s">
        <v>22</v>
      </c>
      <c r="E2" s="10" t="s">
        <v>21</v>
      </c>
      <c r="F2" s="10" t="s">
        <v>10</v>
      </c>
      <c r="G2" s="10" t="s">
        <v>11</v>
      </c>
    </row>
    <row r="3" spans="1:7" x14ac:dyDescent="0.3">
      <c r="A3" s="10">
        <v>1</v>
      </c>
      <c r="B3" s="5">
        <v>3.5</v>
      </c>
      <c r="C3" s="11">
        <f>B3^3 - EXP(0.8*B3) - 20</f>
        <v>6.4303532289029448</v>
      </c>
      <c r="D3" s="5">
        <f>3*B3^2 - 0.8*EXP(0.8*B3)</f>
        <v>23.594282583122357</v>
      </c>
      <c r="E3" s="5">
        <f>B3 - C3/D3</f>
        <v>3.2274613794147422</v>
      </c>
      <c r="F3" s="5">
        <f>ABS(E3-B3)</f>
        <v>0.2725386205852578</v>
      </c>
      <c r="G3" s="1" t="str">
        <f>IF(OR(ABS(C3)&lt;CONFIG!$B$5,F3&lt;CONFIG!$B$5),"✓","→")</f>
        <v>→</v>
      </c>
    </row>
    <row r="4" spans="1:7" x14ac:dyDescent="0.3">
      <c r="A4" s="10">
        <f>A3+1</f>
        <v>2</v>
      </c>
      <c r="B4" s="5">
        <f>E3</f>
        <v>3.2274613794147422</v>
      </c>
      <c r="C4" s="11">
        <f>B4^3 - EXP(0.8*B4) - 20</f>
        <v>0.39572361474333917</v>
      </c>
      <c r="D4" s="5">
        <f>3*B4^2 - 0.8*EXP(0.8*B4)</f>
        <v>20.67100063251717</v>
      </c>
      <c r="E4" s="5">
        <f>B4 - C4/D4</f>
        <v>3.2083174772022467</v>
      </c>
      <c r="F4" s="5">
        <f>ABS(E4-B4)</f>
        <v>1.9143902212495512E-2</v>
      </c>
      <c r="G4" s="1" t="str">
        <f>IF(OR(ABS(C4)&lt;CONFIG!$B$5,F4&lt;CONFIG!$B$5),"✓","→")</f>
        <v>→</v>
      </c>
    </row>
    <row r="5" spans="1:7" x14ac:dyDescent="0.3">
      <c r="A5" s="10">
        <f>A4+1</f>
        <v>3</v>
      </c>
      <c r="B5" s="5">
        <f>E4</f>
        <v>3.2083174772022467</v>
      </c>
      <c r="C5" s="11">
        <f>B5^3 - EXP(0.8*B5) - 20</f>
        <v>1.9985931829964443E-3</v>
      </c>
      <c r="D5" s="5">
        <f>3*B5^2 - 0.8*EXP(0.8*B5)</f>
        <v>20.462159892383411</v>
      </c>
      <c r="E5" s="5">
        <f>B5 - C5/D5</f>
        <v>3.2082198045619434</v>
      </c>
      <c r="F5" s="5">
        <f>ABS(E5-B5)</f>
        <v>9.767264030324796E-5</v>
      </c>
      <c r="G5" s="1" t="str">
        <f>IF(OR(ABS(C5)&lt;CONFIG!$B$5,F5&lt;CONFIG!$B$5),"✓","→")</f>
        <v>→</v>
      </c>
    </row>
    <row r="6" spans="1:7" x14ac:dyDescent="0.3">
      <c r="A6" s="10">
        <f>A5+1</f>
        <v>4</v>
      </c>
      <c r="B6" s="5">
        <f>E5</f>
        <v>3.2082198045619434</v>
      </c>
      <c r="C6" s="11">
        <f>B6^3 - EXP(0.8*B6) - 20</f>
        <v>5.2067743894212981E-8</v>
      </c>
      <c r="D6" s="5">
        <f>3*B6^2 - 0.8*EXP(0.8*B6)</f>
        <v>20.461093722955745</v>
      </c>
      <c r="E6" s="5">
        <f>B6 - C6/D6</f>
        <v>3.2082198020172239</v>
      </c>
      <c r="F6" s="5">
        <f>ABS(E6-B6)</f>
        <v>2.544719546193619E-9</v>
      </c>
      <c r="G6" s="1" t="str">
        <f>IF(OR(ABS(C6)&lt;CONFIG!$B$5,F6&lt;CONFIG!$B$5),"✓","→")</f>
        <v>✓</v>
      </c>
    </row>
    <row r="7" spans="1:7" x14ac:dyDescent="0.3">
      <c r="A7" s="10">
        <f>A6+1</f>
        <v>5</v>
      </c>
      <c r="B7" s="5">
        <f>E6</f>
        <v>3.2082198020172239</v>
      </c>
      <c r="C7" s="11">
        <f>B7^3 - EXP(0.8*B7) - 20</f>
        <v>0</v>
      </c>
      <c r="D7" s="5">
        <f>3*B7^2 - 0.8*EXP(0.8*B7)</f>
        <v>20.46109369517816</v>
      </c>
      <c r="E7" s="5">
        <f>B7 - C7/D7</f>
        <v>3.2082198020172239</v>
      </c>
      <c r="F7" s="5">
        <f>ABS(E7-B7)</f>
        <v>0</v>
      </c>
      <c r="G7" s="1" t="str">
        <f>IF(OR(ABS(C7)&lt;CONFIG!$B$5,F7&lt;CONFIG!$B$5),"✓","→")</f>
        <v>✓</v>
      </c>
    </row>
    <row r="8" spans="1:7" x14ac:dyDescent="0.3">
      <c r="A8" s="1"/>
      <c r="B8" s="5"/>
      <c r="C8" s="5"/>
      <c r="D8" s="5"/>
      <c r="F8" s="5"/>
      <c r="G8" s="1"/>
    </row>
    <row r="9" spans="1:7" x14ac:dyDescent="0.3">
      <c r="A9" s="1"/>
      <c r="B9" s="5"/>
      <c r="C9" s="5"/>
      <c r="D9" s="5"/>
      <c r="E9" s="5"/>
      <c r="F9" s="5"/>
      <c r="G9" s="1"/>
    </row>
    <row r="10" spans="1:7" x14ac:dyDescent="0.3">
      <c r="A10" s="1"/>
      <c r="B10" s="5"/>
      <c r="C10" s="5"/>
      <c r="D10" s="5"/>
      <c r="E10" s="5"/>
      <c r="F10" s="5"/>
      <c r="G10" s="1"/>
    </row>
    <row r="11" spans="1:7" x14ac:dyDescent="0.3">
      <c r="A11" s="1"/>
      <c r="B11" s="5"/>
      <c r="C11" s="5"/>
      <c r="D11" s="5"/>
      <c r="E11" s="5"/>
      <c r="F11" s="5"/>
      <c r="G11" s="1"/>
    </row>
    <row r="12" spans="1:7" x14ac:dyDescent="0.3">
      <c r="A12" s="1"/>
      <c r="B12" s="5"/>
      <c r="C12" s="5"/>
      <c r="D12" s="5"/>
      <c r="E12" s="5"/>
      <c r="F12" s="5"/>
      <c r="G12" s="1"/>
    </row>
    <row r="13" spans="1:7" x14ac:dyDescent="0.3">
      <c r="A13" s="1"/>
      <c r="B13" s="5"/>
      <c r="C13" s="5"/>
      <c r="D13" s="5"/>
      <c r="E13" s="5"/>
      <c r="F13" s="5"/>
      <c r="G13" s="1"/>
    </row>
    <row r="14" spans="1:7" x14ac:dyDescent="0.3">
      <c r="A14" s="1"/>
      <c r="B14" s="5"/>
      <c r="C14" s="5"/>
      <c r="D14" s="5"/>
      <c r="E14" s="5"/>
      <c r="F14" s="5"/>
      <c r="G14" s="1"/>
    </row>
    <row r="15" spans="1:7" x14ac:dyDescent="0.3">
      <c r="A15" s="1"/>
      <c r="B15" s="5"/>
      <c r="C15" s="5"/>
      <c r="D15" s="5"/>
      <c r="E15" s="5"/>
      <c r="F15" s="5"/>
      <c r="G15" s="1"/>
    </row>
    <row r="16" spans="1:7" x14ac:dyDescent="0.3">
      <c r="A16" s="1"/>
      <c r="B16" s="5"/>
      <c r="C16" s="5"/>
      <c r="D16" s="5"/>
      <c r="E16" s="5"/>
      <c r="F16" s="5"/>
      <c r="G16" s="1"/>
    </row>
    <row r="17" spans="1:7" x14ac:dyDescent="0.3">
      <c r="A17" s="1"/>
      <c r="B17" s="5"/>
      <c r="C17" s="5"/>
      <c r="D17" s="5"/>
      <c r="E17" s="5"/>
      <c r="F17" s="5"/>
      <c r="G17" s="1"/>
    </row>
    <row r="18" spans="1:7" x14ac:dyDescent="0.3">
      <c r="A18" s="1"/>
      <c r="B18" s="5"/>
      <c r="C18" s="5"/>
      <c r="D18" s="5"/>
      <c r="E18" s="5"/>
      <c r="F18" s="5"/>
      <c r="G18" s="1"/>
    </row>
    <row r="19" spans="1:7" x14ac:dyDescent="0.3">
      <c r="A19" s="1"/>
      <c r="B19" s="5"/>
      <c r="C19" s="5"/>
      <c r="D19" s="5"/>
      <c r="E19" s="5"/>
      <c r="F19" s="5"/>
      <c r="G19" s="1"/>
    </row>
    <row r="20" spans="1:7" x14ac:dyDescent="0.3">
      <c r="A20" s="1"/>
      <c r="B20" s="5"/>
      <c r="C20" s="5"/>
      <c r="D20" s="5"/>
      <c r="E20" s="5"/>
      <c r="F20" s="5"/>
      <c r="G20" s="1"/>
    </row>
    <row r="21" spans="1:7" x14ac:dyDescent="0.3">
      <c r="A21" s="1"/>
      <c r="B21" s="5"/>
      <c r="C21" s="5"/>
      <c r="D21" s="5"/>
      <c r="E21" s="5"/>
      <c r="F21" s="5"/>
      <c r="G21" s="1"/>
    </row>
    <row r="22" spans="1:7" x14ac:dyDescent="0.3">
      <c r="A22" s="1"/>
      <c r="B22" s="5"/>
      <c r="C22" s="5"/>
      <c r="D22" s="5"/>
      <c r="E22" s="5"/>
      <c r="F22" s="5"/>
      <c r="G22" s="1"/>
    </row>
    <row r="23" spans="1:7" x14ac:dyDescent="0.3">
      <c r="A23" s="1"/>
      <c r="B23" s="5"/>
      <c r="C23" s="5"/>
      <c r="D23" s="5"/>
      <c r="E23" s="5"/>
      <c r="F23" s="5"/>
      <c r="G23" s="1"/>
    </row>
    <row r="24" spans="1:7" x14ac:dyDescent="0.3">
      <c r="A24" s="1"/>
      <c r="B24" s="5"/>
      <c r="C24" s="5"/>
      <c r="D24" s="5"/>
      <c r="E24" s="5"/>
      <c r="F24" s="5"/>
      <c r="G24" s="1"/>
    </row>
    <row r="25" spans="1:7" x14ac:dyDescent="0.3">
      <c r="A25" s="1"/>
      <c r="B25" s="5"/>
      <c r="C25" s="5"/>
      <c r="D25" s="5"/>
      <c r="E25" s="5"/>
      <c r="F25" s="5"/>
      <c r="G25" s="1"/>
    </row>
    <row r="26" spans="1:7" x14ac:dyDescent="0.3">
      <c r="A26" s="1"/>
      <c r="B26" s="5"/>
      <c r="C26" s="5"/>
      <c r="D26" s="5"/>
      <c r="E26" s="5"/>
      <c r="F26" s="5"/>
      <c r="G26" s="1"/>
    </row>
    <row r="27" spans="1:7" x14ac:dyDescent="0.3">
      <c r="A27" s="1"/>
      <c r="B27" s="5"/>
      <c r="C27" s="5"/>
      <c r="D27" s="5"/>
      <c r="E27" s="5"/>
      <c r="F27" s="5"/>
      <c r="G27" s="1"/>
    </row>
    <row r="28" spans="1:7" x14ac:dyDescent="0.3">
      <c r="A28" s="1"/>
      <c r="B28" s="5"/>
      <c r="C28" s="5"/>
      <c r="D28" s="5"/>
      <c r="E28" s="5"/>
      <c r="F28" s="5"/>
      <c r="G28" s="1"/>
    </row>
    <row r="29" spans="1:7" x14ac:dyDescent="0.3">
      <c r="A29" s="1"/>
      <c r="B29" s="5"/>
      <c r="C29" s="5"/>
      <c r="D29" s="5"/>
      <c r="E29" s="5"/>
      <c r="F29" s="5"/>
      <c r="G29" s="1"/>
    </row>
    <row r="30" spans="1:7" x14ac:dyDescent="0.3">
      <c r="A30" s="1"/>
      <c r="B30" s="5"/>
      <c r="C30" s="5"/>
      <c r="D30" s="5"/>
      <c r="E30" s="5"/>
      <c r="F30" s="5"/>
      <c r="G30" s="1"/>
    </row>
    <row r="31" spans="1:7" x14ac:dyDescent="0.3">
      <c r="A31" s="1"/>
      <c r="B31" s="5"/>
      <c r="C31" s="5"/>
      <c r="D31" s="5"/>
      <c r="E31" s="5"/>
      <c r="F31" s="5"/>
      <c r="G31" s="1"/>
    </row>
    <row r="32" spans="1:7" x14ac:dyDescent="0.3">
      <c r="A32" s="1"/>
      <c r="B32" s="5"/>
      <c r="C32" s="5"/>
      <c r="D32" s="5"/>
      <c r="E32" s="5"/>
      <c r="F32" s="5"/>
      <c r="G32" s="1"/>
    </row>
    <row r="33" spans="1:7" x14ac:dyDescent="0.3">
      <c r="A33" s="1"/>
      <c r="B33" s="5"/>
      <c r="C33" s="5"/>
      <c r="D33" s="5"/>
      <c r="E33" s="5"/>
      <c r="F33" s="5"/>
      <c r="G33" s="1"/>
    </row>
    <row r="34" spans="1:7" x14ac:dyDescent="0.3">
      <c r="A34" s="1"/>
      <c r="B34" s="5"/>
      <c r="C34" s="5"/>
      <c r="D34" s="5"/>
      <c r="E34" s="5"/>
      <c r="F34" s="5"/>
      <c r="G34" s="1"/>
    </row>
    <row r="35" spans="1:7" x14ac:dyDescent="0.3">
      <c r="A35" s="1"/>
      <c r="B35" s="5"/>
      <c r="C35" s="5"/>
      <c r="D35" s="5"/>
      <c r="E35" s="5"/>
      <c r="F35" s="5"/>
      <c r="G35" s="1"/>
    </row>
    <row r="36" spans="1:7" x14ac:dyDescent="0.3">
      <c r="A36" s="1"/>
      <c r="B36" s="5"/>
      <c r="C36" s="5"/>
      <c r="D36" s="5"/>
      <c r="E36" s="5"/>
      <c r="F36" s="5"/>
      <c r="G36" s="1"/>
    </row>
    <row r="37" spans="1:7" x14ac:dyDescent="0.3">
      <c r="A37" s="1"/>
      <c r="B37" s="5"/>
      <c r="C37" s="5"/>
      <c r="D37" s="5"/>
      <c r="E37" s="5"/>
      <c r="F37" s="5"/>
      <c r="G37" s="1"/>
    </row>
    <row r="38" spans="1:7" x14ac:dyDescent="0.3">
      <c r="A38" s="1"/>
      <c r="B38" s="5"/>
      <c r="C38" s="5"/>
      <c r="D38" s="5"/>
      <c r="E38" s="5"/>
      <c r="F38" s="5"/>
      <c r="G38" s="1"/>
    </row>
    <row r="39" spans="1:7" x14ac:dyDescent="0.3">
      <c r="A39" s="1"/>
      <c r="B39" s="5"/>
      <c r="C39" s="5"/>
      <c r="D39" s="5"/>
      <c r="E39" s="5"/>
      <c r="F39" s="5"/>
      <c r="G39" s="1"/>
    </row>
    <row r="40" spans="1:7" x14ac:dyDescent="0.3">
      <c r="A40" s="1"/>
      <c r="B40" s="5"/>
      <c r="C40" s="5"/>
      <c r="D40" s="5"/>
      <c r="E40" s="5"/>
      <c r="F40" s="5"/>
      <c r="G40" s="1"/>
    </row>
    <row r="41" spans="1:7" x14ac:dyDescent="0.3">
      <c r="A41" s="1"/>
      <c r="B41" s="5"/>
      <c r="C41" s="5"/>
      <c r="D41" s="5"/>
      <c r="E41" s="5"/>
      <c r="F41" s="5"/>
      <c r="G41" s="1"/>
    </row>
    <row r="42" spans="1:7" x14ac:dyDescent="0.3">
      <c r="A42" s="1"/>
      <c r="B42" s="5"/>
      <c r="C42" s="5"/>
      <c r="D42" s="5"/>
      <c r="E42" s="5"/>
      <c r="F42" s="5"/>
      <c r="G42" s="1"/>
    </row>
    <row r="43" spans="1:7" x14ac:dyDescent="0.3">
      <c r="A43" s="1"/>
      <c r="B43" s="5"/>
      <c r="C43" s="5"/>
      <c r="D43" s="5"/>
      <c r="E43" s="5"/>
      <c r="F43" s="5"/>
      <c r="G43" s="1"/>
    </row>
    <row r="44" spans="1:7" x14ac:dyDescent="0.3">
      <c r="A44" s="1"/>
      <c r="B44" s="5"/>
      <c r="C44" s="5"/>
      <c r="D44" s="5"/>
      <c r="E44" s="5"/>
      <c r="F44" s="5"/>
      <c r="G44" s="1"/>
    </row>
    <row r="45" spans="1:7" x14ac:dyDescent="0.3">
      <c r="A45" s="1"/>
      <c r="B45" s="5"/>
      <c r="C45" s="5"/>
      <c r="D45" s="5"/>
      <c r="E45" s="5"/>
      <c r="F45" s="5"/>
      <c r="G45" s="1"/>
    </row>
    <row r="46" spans="1:7" x14ac:dyDescent="0.3">
      <c r="A46" s="1"/>
      <c r="B46" s="5"/>
      <c r="C46" s="5"/>
      <c r="D46" s="5"/>
      <c r="E46" s="5"/>
      <c r="F46" s="5"/>
      <c r="G46" s="1"/>
    </row>
    <row r="47" spans="1:7" x14ac:dyDescent="0.3">
      <c r="A47" s="1"/>
      <c r="B47" s="5"/>
      <c r="C47" s="5"/>
      <c r="D47" s="5"/>
      <c r="E47" s="5"/>
      <c r="F47" s="5"/>
      <c r="G47" s="1"/>
    </row>
    <row r="48" spans="1:7" x14ac:dyDescent="0.3">
      <c r="A48" s="1"/>
      <c r="B48" s="5"/>
      <c r="C48" s="5"/>
      <c r="D48" s="5"/>
      <c r="E48" s="5"/>
      <c r="F48" s="5"/>
      <c r="G48" s="1"/>
    </row>
    <row r="49" spans="1:7" x14ac:dyDescent="0.3">
      <c r="A49" s="1"/>
      <c r="B49" s="5"/>
      <c r="C49" s="5"/>
      <c r="D49" s="5"/>
      <c r="E49" s="5"/>
      <c r="F49" s="5"/>
      <c r="G49" s="1"/>
    </row>
    <row r="50" spans="1:7" x14ac:dyDescent="0.3">
      <c r="A50" s="1"/>
      <c r="B50" s="5"/>
      <c r="C50" s="5"/>
      <c r="D50" s="5"/>
      <c r="E50" s="5"/>
      <c r="F50" s="5"/>
      <c r="G50" s="1"/>
    </row>
    <row r="51" spans="1:7" x14ac:dyDescent="0.3">
      <c r="A51" s="1"/>
      <c r="B51" s="5"/>
      <c r="C51" s="5"/>
      <c r="D51" s="5"/>
      <c r="E51" s="5"/>
      <c r="F51" s="5"/>
      <c r="G51" s="1"/>
    </row>
    <row r="52" spans="1:7" x14ac:dyDescent="0.3">
      <c r="A52" s="1"/>
      <c r="B52" s="5"/>
      <c r="C52" s="5"/>
      <c r="D52" s="5"/>
      <c r="E52" s="5"/>
      <c r="F52" s="5"/>
      <c r="G52" s="1"/>
    </row>
    <row r="53" spans="1:7" x14ac:dyDescent="0.3">
      <c r="A53" s="1"/>
      <c r="B53" s="5"/>
      <c r="C53" s="5"/>
      <c r="D53" s="5"/>
      <c r="E53" s="5"/>
      <c r="F53" s="5"/>
      <c r="G53" s="1"/>
    </row>
    <row r="54" spans="1:7" x14ac:dyDescent="0.3">
      <c r="A54" s="1"/>
      <c r="B54" s="5"/>
      <c r="C54" s="5"/>
      <c r="D54" s="5"/>
      <c r="E54" s="5"/>
      <c r="F54" s="5"/>
      <c r="G54" s="1"/>
    </row>
    <row r="55" spans="1:7" x14ac:dyDescent="0.3">
      <c r="A55" s="1"/>
      <c r="B55" s="5"/>
      <c r="C55" s="5"/>
      <c r="D55" s="5"/>
      <c r="E55" s="5"/>
      <c r="F55" s="5"/>
      <c r="G55" s="1"/>
    </row>
    <row r="56" spans="1:7" x14ac:dyDescent="0.3">
      <c r="A56" s="1"/>
      <c r="B56" s="5"/>
      <c r="C56" s="5"/>
      <c r="D56" s="5"/>
      <c r="E56" s="5"/>
      <c r="F56" s="5"/>
      <c r="G56" s="1"/>
    </row>
    <row r="57" spans="1:7" x14ac:dyDescent="0.3">
      <c r="A57" s="1"/>
      <c r="B57" s="5"/>
      <c r="C57" s="5"/>
      <c r="D57" s="5"/>
      <c r="E57" s="5"/>
      <c r="F57" s="5"/>
      <c r="G57" s="1"/>
    </row>
    <row r="58" spans="1:7" x14ac:dyDescent="0.3">
      <c r="A58" s="1"/>
      <c r="B58" s="5"/>
      <c r="C58" s="5"/>
      <c r="D58" s="5"/>
      <c r="E58" s="5"/>
      <c r="F58" s="5"/>
      <c r="G58" s="1"/>
    </row>
    <row r="59" spans="1:7" x14ac:dyDescent="0.3">
      <c r="A59" s="1"/>
      <c r="B59" s="5"/>
      <c r="C59" s="5"/>
      <c r="D59" s="5"/>
      <c r="E59" s="5"/>
      <c r="F59" s="5"/>
      <c r="G59" s="1"/>
    </row>
    <row r="60" spans="1:7" x14ac:dyDescent="0.3">
      <c r="A60" s="1"/>
      <c r="B60" s="5"/>
      <c r="C60" s="5"/>
      <c r="D60" s="5"/>
      <c r="E60" s="5"/>
      <c r="F60" s="5"/>
      <c r="G60" s="1"/>
    </row>
    <row r="61" spans="1:7" x14ac:dyDescent="0.3">
      <c r="A61" s="1"/>
      <c r="B61" s="5"/>
      <c r="C61" s="5"/>
      <c r="D61" s="5"/>
      <c r="E61" s="5"/>
      <c r="F61" s="5"/>
      <c r="G61" s="1"/>
    </row>
    <row r="62" spans="1:7" x14ac:dyDescent="0.3">
      <c r="A62" s="1"/>
      <c r="B62" s="5"/>
      <c r="C62" s="5"/>
      <c r="D62" s="5"/>
      <c r="E62" s="5"/>
      <c r="F62" s="5"/>
      <c r="G62" s="1"/>
    </row>
    <row r="63" spans="1:7" x14ac:dyDescent="0.3">
      <c r="A63" s="1"/>
      <c r="B63" s="5"/>
      <c r="C63" s="5"/>
      <c r="D63" s="5"/>
      <c r="E63" s="5"/>
      <c r="F63" s="5"/>
      <c r="G63" s="1"/>
    </row>
    <row r="64" spans="1:7" x14ac:dyDescent="0.3">
      <c r="A64" s="1"/>
      <c r="B64" s="5"/>
      <c r="C64" s="5"/>
      <c r="D64" s="5"/>
      <c r="E64" s="5"/>
      <c r="F64" s="5"/>
      <c r="G64" s="1"/>
    </row>
    <row r="65" spans="1:7" x14ac:dyDescent="0.3">
      <c r="A65" s="1"/>
      <c r="B65" s="5"/>
      <c r="C65" s="5"/>
      <c r="D65" s="5"/>
      <c r="E65" s="5"/>
      <c r="F65" s="5"/>
      <c r="G65" s="1"/>
    </row>
    <row r="66" spans="1:7" x14ac:dyDescent="0.3">
      <c r="A66" s="1"/>
      <c r="B66" s="5"/>
      <c r="C66" s="5"/>
      <c r="D66" s="5"/>
      <c r="E66" s="5"/>
      <c r="F66" s="5"/>
      <c r="G66" s="1"/>
    </row>
    <row r="67" spans="1:7" x14ac:dyDescent="0.3">
      <c r="A67" s="1"/>
      <c r="B67" s="5"/>
      <c r="C67" s="5"/>
      <c r="D67" s="5"/>
      <c r="E67" s="5"/>
      <c r="F67" s="5"/>
      <c r="G67" s="1"/>
    </row>
    <row r="68" spans="1:7" x14ac:dyDescent="0.3">
      <c r="A68" s="1"/>
      <c r="B68" s="5"/>
      <c r="C68" s="5"/>
      <c r="D68" s="5"/>
      <c r="E68" s="5"/>
      <c r="F68" s="5"/>
      <c r="G68" s="1"/>
    </row>
    <row r="69" spans="1:7" x14ac:dyDescent="0.3">
      <c r="A69" s="1"/>
      <c r="B69" s="5"/>
      <c r="C69" s="5"/>
      <c r="D69" s="5"/>
      <c r="E69" s="5"/>
      <c r="F69" s="5"/>
      <c r="G69" s="1"/>
    </row>
    <row r="70" spans="1:7" x14ac:dyDescent="0.3">
      <c r="A70" s="1"/>
      <c r="B70" s="5"/>
      <c r="C70" s="5"/>
      <c r="D70" s="5"/>
      <c r="E70" s="5"/>
      <c r="F70" s="5"/>
      <c r="G70" s="1"/>
    </row>
    <row r="71" spans="1:7" x14ac:dyDescent="0.3">
      <c r="A71" s="1"/>
      <c r="B71" s="5"/>
      <c r="C71" s="5"/>
      <c r="D71" s="5"/>
      <c r="E71" s="5"/>
      <c r="F71" s="5"/>
      <c r="G71" s="1"/>
    </row>
    <row r="72" spans="1:7" x14ac:dyDescent="0.3">
      <c r="A72" s="1"/>
      <c r="B72" s="5"/>
      <c r="C72" s="5"/>
      <c r="D72" s="5"/>
      <c r="E72" s="5"/>
      <c r="F72" s="5"/>
      <c r="G72" s="1"/>
    </row>
    <row r="73" spans="1:7" x14ac:dyDescent="0.3">
      <c r="A73" s="1"/>
      <c r="B73" s="5"/>
      <c r="C73" s="5"/>
      <c r="D73" s="5"/>
      <c r="E73" s="5"/>
      <c r="F73" s="5"/>
      <c r="G73" s="1"/>
    </row>
    <row r="74" spans="1:7" x14ac:dyDescent="0.3">
      <c r="A74" s="1"/>
      <c r="B74" s="5"/>
      <c r="C74" s="5"/>
      <c r="D74" s="5"/>
      <c r="E74" s="5"/>
      <c r="F74" s="5"/>
      <c r="G74" s="1"/>
    </row>
    <row r="75" spans="1:7" x14ac:dyDescent="0.3">
      <c r="A75" s="1"/>
      <c r="B75" s="5"/>
      <c r="C75" s="5"/>
      <c r="D75" s="5"/>
      <c r="E75" s="5"/>
      <c r="F75" s="5"/>
      <c r="G75" s="1"/>
    </row>
    <row r="76" spans="1:7" x14ac:dyDescent="0.3">
      <c r="A76" s="1"/>
      <c r="B76" s="5"/>
      <c r="C76" s="5"/>
      <c r="D76" s="5"/>
      <c r="E76" s="5"/>
      <c r="F76" s="5"/>
      <c r="G76" s="1"/>
    </row>
    <row r="77" spans="1:7" x14ac:dyDescent="0.3">
      <c r="A77" s="1"/>
      <c r="B77" s="5"/>
      <c r="C77" s="5"/>
      <c r="D77" s="5"/>
      <c r="E77" s="5"/>
      <c r="F77" s="5"/>
      <c r="G77" s="1"/>
    </row>
    <row r="78" spans="1:7" x14ac:dyDescent="0.3">
      <c r="A78" s="1"/>
      <c r="B78" s="5"/>
      <c r="C78" s="5"/>
      <c r="D78" s="5"/>
      <c r="E78" s="5"/>
      <c r="F78" s="5"/>
      <c r="G78" s="1"/>
    </row>
    <row r="79" spans="1:7" x14ac:dyDescent="0.3">
      <c r="A79" s="1"/>
      <c r="B79" s="5"/>
      <c r="C79" s="5"/>
      <c r="D79" s="5"/>
      <c r="E79" s="5"/>
      <c r="F79" s="5"/>
      <c r="G79" s="1"/>
    </row>
    <row r="80" spans="1:7" x14ac:dyDescent="0.3">
      <c r="A80" s="1"/>
      <c r="B80" s="5"/>
      <c r="C80" s="5"/>
      <c r="D80" s="5"/>
      <c r="E80" s="5"/>
      <c r="F80" s="5"/>
      <c r="G80" s="1"/>
    </row>
    <row r="81" spans="1:7" x14ac:dyDescent="0.3">
      <c r="A81" s="1"/>
      <c r="B81" s="5"/>
      <c r="C81" s="5"/>
      <c r="D81" s="5"/>
      <c r="E81" s="5"/>
      <c r="F81" s="5"/>
      <c r="G81" s="1"/>
    </row>
    <row r="82" spans="1:7" x14ac:dyDescent="0.3">
      <c r="A82" s="1"/>
      <c r="B82" s="5"/>
      <c r="C82" s="5"/>
      <c r="D82" s="5"/>
      <c r="E82" s="5"/>
      <c r="F82" s="5"/>
      <c r="G82" s="1"/>
    </row>
    <row r="83" spans="1:7" x14ac:dyDescent="0.3">
      <c r="A83" s="1"/>
      <c r="B83" s="5"/>
      <c r="C83" s="5"/>
      <c r="D83" s="5"/>
      <c r="E83" s="5"/>
      <c r="F83" s="5"/>
      <c r="G83" s="1"/>
    </row>
    <row r="84" spans="1:7" x14ac:dyDescent="0.3">
      <c r="A84" s="1"/>
      <c r="B84" s="5"/>
      <c r="C84" s="5"/>
      <c r="D84" s="5"/>
      <c r="E84" s="5"/>
      <c r="F84" s="5"/>
      <c r="G84" s="1"/>
    </row>
    <row r="85" spans="1:7" x14ac:dyDescent="0.3">
      <c r="A85" s="1"/>
      <c r="B85" s="5"/>
      <c r="C85" s="5"/>
      <c r="D85" s="5"/>
      <c r="E85" s="5"/>
      <c r="F85" s="5"/>
      <c r="G85" s="1"/>
    </row>
    <row r="86" spans="1:7" x14ac:dyDescent="0.3">
      <c r="A86" s="1"/>
      <c r="B86" s="5"/>
      <c r="C86" s="5"/>
      <c r="D86" s="5"/>
      <c r="E86" s="5"/>
      <c r="F86" s="5"/>
      <c r="G86" s="1"/>
    </row>
    <row r="87" spans="1:7" x14ac:dyDescent="0.3">
      <c r="A87" s="1"/>
      <c r="B87" s="5"/>
      <c r="C87" s="5"/>
      <c r="D87" s="5"/>
      <c r="E87" s="5"/>
      <c r="F87" s="5"/>
      <c r="G87" s="1"/>
    </row>
    <row r="88" spans="1:7" x14ac:dyDescent="0.3">
      <c r="A88" s="1"/>
      <c r="B88" s="5"/>
      <c r="C88" s="5"/>
      <c r="D88" s="5"/>
      <c r="E88" s="5"/>
      <c r="F88" s="5"/>
      <c r="G88" s="1"/>
    </row>
    <row r="89" spans="1:7" x14ac:dyDescent="0.3">
      <c r="A89" s="1"/>
      <c r="B89" s="5"/>
      <c r="C89" s="5"/>
      <c r="D89" s="5"/>
      <c r="E89" s="5"/>
      <c r="F89" s="5"/>
      <c r="G89" s="1"/>
    </row>
    <row r="90" spans="1:7" x14ac:dyDescent="0.3">
      <c r="A90" s="1"/>
      <c r="B90" s="5"/>
      <c r="C90" s="5"/>
      <c r="D90" s="5"/>
      <c r="E90" s="5"/>
      <c r="F90" s="5"/>
      <c r="G90" s="1"/>
    </row>
    <row r="91" spans="1:7" x14ac:dyDescent="0.3">
      <c r="A91" s="1"/>
      <c r="B91" s="5"/>
      <c r="C91" s="5"/>
      <c r="D91" s="5"/>
      <c r="E91" s="5"/>
      <c r="F91" s="5"/>
      <c r="G91" s="1"/>
    </row>
    <row r="92" spans="1:7" x14ac:dyDescent="0.3">
      <c r="A92" s="1"/>
      <c r="B92" s="5"/>
      <c r="C92" s="5"/>
      <c r="D92" s="5"/>
      <c r="E92" s="5"/>
      <c r="F92" s="5"/>
      <c r="G92" s="1"/>
    </row>
    <row r="93" spans="1:7" x14ac:dyDescent="0.3">
      <c r="A93" s="1"/>
      <c r="B93" s="5"/>
      <c r="C93" s="5"/>
      <c r="D93" s="5"/>
      <c r="E93" s="5"/>
      <c r="F93" s="5"/>
      <c r="G93" s="1"/>
    </row>
    <row r="94" spans="1:7" x14ac:dyDescent="0.3">
      <c r="A94" s="1"/>
      <c r="B94" s="5"/>
      <c r="C94" s="5"/>
      <c r="D94" s="5"/>
      <c r="E94" s="5"/>
      <c r="F94" s="5"/>
      <c r="G94" s="1"/>
    </row>
    <row r="95" spans="1:7" x14ac:dyDescent="0.3">
      <c r="A95" s="1"/>
      <c r="B95" s="5"/>
      <c r="C95" s="5"/>
      <c r="D95" s="5"/>
      <c r="E95" s="5"/>
      <c r="F95" s="5"/>
      <c r="G95" s="1"/>
    </row>
    <row r="96" spans="1:7" x14ac:dyDescent="0.3">
      <c r="A96" s="1"/>
      <c r="B96" s="5"/>
      <c r="C96" s="5"/>
      <c r="D96" s="5"/>
      <c r="E96" s="5"/>
      <c r="F96" s="5"/>
      <c r="G96" s="1"/>
    </row>
    <row r="97" spans="1:7" x14ac:dyDescent="0.3">
      <c r="A97" s="1"/>
      <c r="B97" s="5"/>
      <c r="C97" s="5"/>
      <c r="D97" s="5"/>
      <c r="E97" s="5"/>
      <c r="F97" s="5"/>
      <c r="G97" s="1"/>
    </row>
    <row r="98" spans="1:7" x14ac:dyDescent="0.3">
      <c r="A98" s="1"/>
      <c r="B98" s="5"/>
      <c r="C98" s="5"/>
      <c r="D98" s="5"/>
      <c r="E98" s="5"/>
      <c r="F98" s="5"/>
      <c r="G98" s="1"/>
    </row>
    <row r="99" spans="1:7" x14ac:dyDescent="0.3">
      <c r="A99" s="1"/>
      <c r="B99" s="5"/>
      <c r="C99" s="5"/>
      <c r="D99" s="5"/>
      <c r="E99" s="5"/>
      <c r="F99" s="5"/>
      <c r="G99" s="1"/>
    </row>
    <row r="100" spans="1:7" x14ac:dyDescent="0.3">
      <c r="A100" s="1"/>
      <c r="B100" s="5"/>
      <c r="C100" s="5"/>
      <c r="D100" s="5"/>
      <c r="E100" s="5"/>
      <c r="F100" s="5"/>
      <c r="G100" s="1"/>
    </row>
    <row r="101" spans="1:7" x14ac:dyDescent="0.3">
      <c r="A101" s="1"/>
      <c r="B101" s="5"/>
      <c r="C101" s="5"/>
      <c r="D101" s="5"/>
      <c r="E101" s="5"/>
      <c r="F101" s="5"/>
      <c r="G101" s="1"/>
    </row>
    <row r="102" spans="1:7" x14ac:dyDescent="0.3">
      <c r="A102" s="1"/>
      <c r="B102" s="5"/>
      <c r="C102" s="5"/>
      <c r="D102" s="5"/>
      <c r="E102" s="5"/>
      <c r="F102" s="5"/>
      <c r="G102" s="1"/>
    </row>
    <row r="103" spans="1:7" x14ac:dyDescent="0.3">
      <c r="A103" s="1"/>
      <c r="B103" s="5"/>
      <c r="C103" s="5"/>
      <c r="D103" s="5"/>
      <c r="E103" s="5"/>
      <c r="F103" s="5"/>
      <c r="G103" s="1"/>
    </row>
    <row r="104" spans="1:7" x14ac:dyDescent="0.3">
      <c r="A104" s="1"/>
      <c r="B104" s="5"/>
      <c r="C104" s="5"/>
      <c r="D104" s="5"/>
      <c r="E104" s="5"/>
      <c r="F104" s="5"/>
      <c r="G104" s="1"/>
    </row>
    <row r="105" spans="1:7" x14ac:dyDescent="0.3">
      <c r="A105" s="1"/>
      <c r="B105" s="5"/>
      <c r="C105" s="5"/>
      <c r="D105" s="5"/>
      <c r="E105" s="5"/>
      <c r="F105" s="5"/>
      <c r="G105" s="1"/>
    </row>
    <row r="106" spans="1:7" x14ac:dyDescent="0.3">
      <c r="A106" s="1"/>
      <c r="B106" s="5"/>
      <c r="C106" s="5"/>
      <c r="D106" s="5"/>
      <c r="E106" s="5"/>
      <c r="F106" s="5"/>
      <c r="G106" s="1"/>
    </row>
    <row r="107" spans="1:7" x14ac:dyDescent="0.3">
      <c r="A107" s="1"/>
      <c r="B107" s="5"/>
      <c r="C107" s="5"/>
      <c r="D107" s="5"/>
      <c r="E107" s="5"/>
      <c r="F107" s="5"/>
      <c r="G107" s="1"/>
    </row>
    <row r="108" spans="1:7" x14ac:dyDescent="0.3">
      <c r="A108" s="1"/>
      <c r="B108" s="5"/>
      <c r="C108" s="5"/>
      <c r="D108" s="5"/>
      <c r="E108" s="5"/>
      <c r="F108" s="5"/>
      <c r="G108" s="1"/>
    </row>
    <row r="109" spans="1:7" x14ac:dyDescent="0.3">
      <c r="A109" s="1"/>
      <c r="B109" s="5"/>
      <c r="C109" s="5"/>
      <c r="D109" s="5"/>
      <c r="E109" s="5"/>
      <c r="F109" s="5"/>
      <c r="G109" s="1"/>
    </row>
    <row r="110" spans="1:7" x14ac:dyDescent="0.3">
      <c r="A110" s="1"/>
      <c r="B110" s="5"/>
      <c r="C110" s="5"/>
      <c r="D110" s="5"/>
      <c r="E110" s="5"/>
      <c r="F110" s="5"/>
      <c r="G110" s="1"/>
    </row>
    <row r="111" spans="1:7" x14ac:dyDescent="0.3">
      <c r="A111" s="1"/>
      <c r="B111" s="5"/>
      <c r="C111" s="5"/>
      <c r="D111" s="5"/>
      <c r="E111" s="5"/>
      <c r="F111" s="5"/>
      <c r="G111" s="1"/>
    </row>
    <row r="112" spans="1:7" x14ac:dyDescent="0.3">
      <c r="A112" s="1"/>
      <c r="B112" s="5"/>
      <c r="C112" s="5"/>
      <c r="D112" s="5"/>
      <c r="E112" s="5"/>
      <c r="F112" s="5"/>
      <c r="G112" s="1"/>
    </row>
    <row r="113" spans="1:7" x14ac:dyDescent="0.3">
      <c r="A113" s="1"/>
      <c r="B113" s="5"/>
      <c r="C113" s="5"/>
      <c r="D113" s="5"/>
      <c r="E113" s="5"/>
      <c r="F113" s="5"/>
      <c r="G113" s="1"/>
    </row>
    <row r="114" spans="1:7" x14ac:dyDescent="0.3">
      <c r="A114" s="1"/>
      <c r="B114" s="5"/>
      <c r="C114" s="5"/>
      <c r="D114" s="5"/>
      <c r="E114" s="5"/>
      <c r="F114" s="5"/>
      <c r="G114" s="1"/>
    </row>
    <row r="115" spans="1:7" x14ac:dyDescent="0.3">
      <c r="A115" s="1"/>
      <c r="B115" s="5"/>
      <c r="C115" s="5"/>
      <c r="D115" s="5"/>
      <c r="E115" s="5"/>
      <c r="F115" s="5"/>
      <c r="G115" s="1"/>
    </row>
    <row r="116" spans="1:7" x14ac:dyDescent="0.3">
      <c r="A116" s="1"/>
      <c r="B116" s="5"/>
      <c r="C116" s="5"/>
      <c r="D116" s="5"/>
      <c r="E116" s="5"/>
      <c r="F116" s="5"/>
      <c r="G116" s="1"/>
    </row>
    <row r="117" spans="1:7" x14ac:dyDescent="0.3">
      <c r="A117" s="1"/>
      <c r="B117" s="5"/>
      <c r="C117" s="5"/>
      <c r="D117" s="5"/>
      <c r="E117" s="5"/>
      <c r="F117" s="5"/>
      <c r="G117" s="1"/>
    </row>
    <row r="118" spans="1:7" x14ac:dyDescent="0.3">
      <c r="A118" s="1"/>
      <c r="B118" s="5"/>
      <c r="C118" s="5"/>
      <c r="D118" s="5"/>
      <c r="E118" s="5"/>
      <c r="F118" s="5"/>
      <c r="G118" s="1"/>
    </row>
    <row r="119" spans="1:7" x14ac:dyDescent="0.3">
      <c r="A119" s="1"/>
      <c r="B119" s="5"/>
      <c r="C119" s="5"/>
      <c r="D119" s="5"/>
      <c r="E119" s="5"/>
      <c r="F119" s="5"/>
      <c r="G119" s="1"/>
    </row>
    <row r="120" spans="1:7" x14ac:dyDescent="0.3">
      <c r="A120" s="1"/>
      <c r="B120" s="5"/>
      <c r="C120" s="5"/>
      <c r="D120" s="5"/>
      <c r="E120" s="5"/>
      <c r="F120" s="5"/>
      <c r="G120" s="1"/>
    </row>
    <row r="121" spans="1:7" x14ac:dyDescent="0.3">
      <c r="A121" s="1"/>
      <c r="B121" s="5"/>
      <c r="C121" s="5"/>
      <c r="D121" s="5"/>
      <c r="E121" s="5"/>
      <c r="F121" s="5"/>
      <c r="G121" s="1"/>
    </row>
    <row r="122" spans="1:7" x14ac:dyDescent="0.3">
      <c r="A122" s="1"/>
      <c r="B122" s="5"/>
      <c r="C122" s="5"/>
      <c r="D122" s="5"/>
      <c r="E122" s="5"/>
      <c r="F122" s="5"/>
      <c r="G122" s="1"/>
    </row>
    <row r="123" spans="1:7" x14ac:dyDescent="0.3">
      <c r="A123" s="1"/>
      <c r="B123" s="5"/>
      <c r="C123" s="5"/>
      <c r="D123" s="5"/>
      <c r="E123" s="5"/>
      <c r="F123" s="5"/>
      <c r="G123" s="1"/>
    </row>
    <row r="124" spans="1:7" x14ac:dyDescent="0.3">
      <c r="A124" s="1"/>
      <c r="B124" s="5"/>
      <c r="C124" s="5"/>
      <c r="D124" s="5"/>
      <c r="E124" s="5"/>
      <c r="F124" s="5"/>
      <c r="G124" s="1"/>
    </row>
    <row r="125" spans="1:7" x14ac:dyDescent="0.3">
      <c r="A125" s="1"/>
      <c r="B125" s="5"/>
      <c r="C125" s="5"/>
      <c r="D125" s="5"/>
      <c r="E125" s="5"/>
      <c r="F125" s="5"/>
      <c r="G125" s="1"/>
    </row>
    <row r="126" spans="1:7" x14ac:dyDescent="0.3">
      <c r="A126" s="1"/>
      <c r="B126" s="5"/>
      <c r="C126" s="5"/>
      <c r="D126" s="5"/>
      <c r="E126" s="5"/>
      <c r="F126" s="5"/>
      <c r="G126" s="1"/>
    </row>
    <row r="127" spans="1:7" x14ac:dyDescent="0.3">
      <c r="A127" s="1"/>
      <c r="B127" s="5"/>
      <c r="C127" s="5"/>
      <c r="D127" s="5"/>
      <c r="E127" s="5"/>
      <c r="F127" s="5"/>
      <c r="G127" s="1"/>
    </row>
    <row r="128" spans="1:7" x14ac:dyDescent="0.3">
      <c r="A128" s="1"/>
      <c r="B128" s="5"/>
      <c r="C128" s="5"/>
      <c r="D128" s="5"/>
      <c r="E128" s="5"/>
      <c r="F128" s="5"/>
      <c r="G128" s="1"/>
    </row>
    <row r="129" spans="1:7" x14ac:dyDescent="0.3">
      <c r="A129" s="1"/>
      <c r="B129" s="5"/>
      <c r="C129" s="5"/>
      <c r="D129" s="5"/>
      <c r="E129" s="5"/>
      <c r="F129" s="5"/>
      <c r="G129" s="1"/>
    </row>
    <row r="130" spans="1:7" x14ac:dyDescent="0.3">
      <c r="A130" s="1"/>
      <c r="B130" s="5"/>
      <c r="C130" s="5"/>
      <c r="D130" s="5"/>
      <c r="E130" s="5"/>
      <c r="F130" s="5"/>
      <c r="G130" s="1"/>
    </row>
    <row r="131" spans="1:7" x14ac:dyDescent="0.3">
      <c r="A131" s="1"/>
      <c r="B131" s="5"/>
      <c r="C131" s="5"/>
      <c r="D131" s="5"/>
      <c r="E131" s="5"/>
      <c r="F131" s="5"/>
      <c r="G131" s="1"/>
    </row>
    <row r="132" spans="1:7" x14ac:dyDescent="0.3">
      <c r="A132" s="1"/>
      <c r="B132" s="5"/>
      <c r="C132" s="5"/>
      <c r="D132" s="5"/>
      <c r="E132" s="5"/>
      <c r="F132" s="5"/>
      <c r="G132" s="1"/>
    </row>
    <row r="133" spans="1:7" x14ac:dyDescent="0.3">
      <c r="A133" s="1"/>
      <c r="B133" s="5"/>
      <c r="C133" s="5"/>
      <c r="D133" s="5"/>
      <c r="E133" s="5"/>
      <c r="F133" s="5"/>
      <c r="G133" s="1"/>
    </row>
    <row r="134" spans="1:7" x14ac:dyDescent="0.3">
      <c r="A134" s="1"/>
      <c r="B134" s="5"/>
      <c r="C134" s="5"/>
      <c r="D134" s="5"/>
      <c r="E134" s="5"/>
      <c r="F134" s="5"/>
      <c r="G134" s="1"/>
    </row>
    <row r="135" spans="1:7" x14ac:dyDescent="0.3">
      <c r="A135" s="1"/>
      <c r="B135" s="5"/>
      <c r="C135" s="5"/>
      <c r="D135" s="5"/>
      <c r="E135" s="5"/>
      <c r="F135" s="5"/>
      <c r="G135" s="1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BDC6-785B-4D18-BB82-C5DFB2965981}">
  <dimension ref="A1:H9"/>
  <sheetViews>
    <sheetView workbookViewId="0">
      <selection activeCell="G4" sqref="G3:G6"/>
    </sheetView>
  </sheetViews>
  <sheetFormatPr baseColWidth="10" defaultRowHeight="16.5" x14ac:dyDescent="0.3"/>
  <cols>
    <col min="3" max="3" width="17.625" customWidth="1"/>
    <col min="4" max="4" width="12" bestFit="1" customWidth="1"/>
  </cols>
  <sheetData>
    <row r="1" spans="1:8" x14ac:dyDescent="0.3">
      <c r="A1" s="17" t="s">
        <v>27</v>
      </c>
      <c r="B1" s="17"/>
      <c r="C1" s="17"/>
      <c r="D1" s="17"/>
      <c r="E1" s="17"/>
      <c r="F1" s="17"/>
      <c r="G1" s="17"/>
    </row>
    <row r="2" spans="1:8" x14ac:dyDescent="0.3">
      <c r="A2" s="10" t="s">
        <v>5</v>
      </c>
      <c r="B2" s="10" t="s">
        <v>24</v>
      </c>
      <c r="C2" s="10" t="s">
        <v>23</v>
      </c>
      <c r="D2" s="10" t="s">
        <v>22</v>
      </c>
      <c r="E2" s="10" t="s">
        <v>21</v>
      </c>
      <c r="F2" s="10" t="s">
        <v>10</v>
      </c>
      <c r="G2" s="10" t="s">
        <v>11</v>
      </c>
    </row>
    <row r="3" spans="1:8" x14ac:dyDescent="0.3">
      <c r="A3" s="10">
        <v>1</v>
      </c>
      <c r="B3" s="5">
        <v>7.5</v>
      </c>
      <c r="C3" s="11">
        <f>B3^3 - EXP(0.8*B3) - 20</f>
        <v>-1.5537934927351102</v>
      </c>
      <c r="D3" s="5">
        <f>3*B3^2 - 0.8*EXP(0.8*B3)</f>
        <v>-153.99303479418813</v>
      </c>
      <c r="E3" s="5">
        <f>B3 - (C3/D3)</f>
        <v>7.4899099755075822</v>
      </c>
      <c r="F3" s="5">
        <f>ABS(E3-B3)</f>
        <v>1.0090024492417804E-2</v>
      </c>
      <c r="G3" s="1" t="str">
        <f>IF(OR(ABS(C3)&lt;CONFIG!$B$5,F3&lt;CONFIG!$B$5),"✓","→")</f>
        <v>→</v>
      </c>
    </row>
    <row r="4" spans="1:8" x14ac:dyDescent="0.3">
      <c r="A4" s="10">
        <f>A3+1</f>
        <v>2</v>
      </c>
      <c r="B4" s="5">
        <f>E3</f>
        <v>7.4899099755075822</v>
      </c>
      <c r="C4" s="11">
        <f>B4^3 - EXP(0.8*B4) - 20</f>
        <v>-1.0818246930170972E-2</v>
      </c>
      <c r="D4" s="5">
        <f>3*B4^2 - 0.8*EXP(0.8*B4)</f>
        <v>-151.85207870033943</v>
      </c>
      <c r="E4" s="5">
        <f>B4 - (C4/D4)</f>
        <v>7.4898387335000791</v>
      </c>
      <c r="F4" s="5">
        <f>ABS(E4-B4)</f>
        <v>7.1242007503080629E-5</v>
      </c>
      <c r="G4" s="1" t="str">
        <f>IF(OR(ABS(C4)&lt;CONFIG!$B$5,F4&lt;CONFIG!$B$5),"✓","→")</f>
        <v>→</v>
      </c>
    </row>
    <row r="5" spans="1:8" x14ac:dyDescent="0.3">
      <c r="A5" s="10">
        <f>A4+1</f>
        <v>3</v>
      </c>
      <c r="B5" s="5">
        <f>E4</f>
        <v>7.4898387335000791</v>
      </c>
      <c r="C5" s="11">
        <f>B5^3 - EXP(0.8*B5) - 20</f>
        <v>-5.3589991466651554E-7</v>
      </c>
      <c r="D5" s="5">
        <f>3*B5^2 - 0.8*EXP(0.8*B5)</f>
        <v>-151.83703437444882</v>
      </c>
      <c r="E5" s="5">
        <f>B5 - (C5/D5)</f>
        <v>7.4898387299706375</v>
      </c>
      <c r="F5" s="5">
        <f>ABS(E5-B5)</f>
        <v>3.5294416278475182E-9</v>
      </c>
      <c r="G5" s="1" t="str">
        <f>IF(OR(ABS(C5)&lt;CONFIG!$B$5,F5&lt;CONFIG!$B$5),"✓","→")</f>
        <v>✓</v>
      </c>
    </row>
    <row r="6" spans="1:8" x14ac:dyDescent="0.3">
      <c r="A6" s="10">
        <f>A5+1</f>
        <v>4</v>
      </c>
      <c r="B6" s="5">
        <f>E5</f>
        <v>7.4898387299706375</v>
      </c>
      <c r="C6" s="11">
        <f>B6^3 - EXP(0.8*B6) - 20</f>
        <v>-1.1368683772161603E-13</v>
      </c>
      <c r="D6" s="5">
        <f>3*B6^2 - 0.8*EXP(0.8*B6)</f>
        <v>-151.83703362915429</v>
      </c>
      <c r="E6" s="5">
        <f>B6 - (C6/D6)</f>
        <v>7.4898387299706366</v>
      </c>
      <c r="F6" s="5">
        <f>ABS(E6-B6)</f>
        <v>8.8817841970012523E-16</v>
      </c>
      <c r="G6" s="1" t="str">
        <f>IF(OR(ABS(C6)&lt;CONFIG!$B$5,F6&lt;CONFIG!$B$5),"✓","→")</f>
        <v>✓</v>
      </c>
    </row>
    <row r="7" spans="1:8" x14ac:dyDescent="0.3">
      <c r="A7" s="1"/>
      <c r="B7" s="5"/>
      <c r="C7" s="5"/>
      <c r="D7" s="5"/>
      <c r="E7" s="5"/>
      <c r="F7" s="5"/>
      <c r="G7" s="1"/>
    </row>
    <row r="8" spans="1:8" x14ac:dyDescent="0.3">
      <c r="A8" s="1"/>
      <c r="B8" s="4"/>
      <c r="C8" s="4"/>
      <c r="D8" s="4"/>
      <c r="E8" s="4"/>
      <c r="F8" s="4"/>
      <c r="G8" s="4"/>
      <c r="H8" s="1"/>
    </row>
    <row r="9" spans="1:8" x14ac:dyDescent="0.3">
      <c r="A9" s="1"/>
      <c r="B9" s="4"/>
      <c r="C9" s="4"/>
      <c r="D9" s="4"/>
      <c r="E9" s="4"/>
      <c r="F9" s="4"/>
      <c r="G9" s="4"/>
      <c r="H9" s="1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0F43-DA79-4DBB-B013-1EA578379159}">
  <dimension ref="A1:D10"/>
  <sheetViews>
    <sheetView workbookViewId="0">
      <selection activeCell="B7" sqref="B7"/>
    </sheetView>
  </sheetViews>
  <sheetFormatPr baseColWidth="10" defaultRowHeight="16.5" x14ac:dyDescent="0.3"/>
  <cols>
    <col min="1" max="1" width="16.875" customWidth="1"/>
    <col min="2" max="2" width="11.5" customWidth="1"/>
    <col min="3" max="3" width="13.25" customWidth="1"/>
  </cols>
  <sheetData>
    <row r="1" spans="1:4" x14ac:dyDescent="0.3">
      <c r="A1" s="15" t="s">
        <v>13</v>
      </c>
      <c r="B1" s="15"/>
      <c r="C1" s="15"/>
      <c r="D1" s="4"/>
    </row>
    <row r="2" spans="1:4" x14ac:dyDescent="0.3">
      <c r="A2" s="17" t="s">
        <v>27</v>
      </c>
      <c r="B2" s="17"/>
      <c r="C2" s="17"/>
      <c r="D2" s="4"/>
    </row>
    <row r="3" spans="1:4" x14ac:dyDescent="0.3">
      <c r="A3" s="4"/>
      <c r="B3" s="4"/>
      <c r="C3" s="4"/>
      <c r="D3" s="4"/>
    </row>
    <row r="4" spans="1:4" x14ac:dyDescent="0.3">
      <c r="A4" s="9" t="s">
        <v>26</v>
      </c>
      <c r="B4" s="4">
        <f>'Newton=3.5'!E6</f>
        <v>3.2082198020172239</v>
      </c>
      <c r="C4" s="13">
        <f>'Newton=3.5'!F6</f>
        <v>2.544719546193619E-9</v>
      </c>
      <c r="D4" s="4"/>
    </row>
    <row r="5" spans="1:4" x14ac:dyDescent="0.3">
      <c r="A5" s="10" t="s">
        <v>15</v>
      </c>
      <c r="B5" s="4">
        <f>COUNTIF('Newton=3.5'!G3:G7,"→")+1</f>
        <v>4</v>
      </c>
      <c r="C5" s="4"/>
      <c r="D5" s="4"/>
    </row>
    <row r="6" spans="1:4" x14ac:dyDescent="0.3">
      <c r="A6" s="4"/>
      <c r="B6" s="4"/>
      <c r="C6" s="4"/>
      <c r="D6" s="4"/>
    </row>
    <row r="7" spans="1:4" x14ac:dyDescent="0.3">
      <c r="A7" s="9" t="s">
        <v>25</v>
      </c>
      <c r="B7" s="4">
        <f>'Newton=7.5'!E5</f>
        <v>7.4898387299706375</v>
      </c>
      <c r="C7" s="12">
        <f>'Newton=7.5'!F5</f>
        <v>3.5294416278475182E-9</v>
      </c>
      <c r="D7" s="4"/>
    </row>
    <row r="8" spans="1:4" x14ac:dyDescent="0.3">
      <c r="A8" s="10" t="s">
        <v>15</v>
      </c>
      <c r="B8" s="1">
        <f>COUNTIF('Newton=7.5'!G3:G5,"→")+1</f>
        <v>3</v>
      </c>
      <c r="C8" s="4"/>
      <c r="D8" s="4"/>
    </row>
    <row r="9" spans="1:4" x14ac:dyDescent="0.3">
      <c r="A9" s="4"/>
      <c r="B9" s="4"/>
      <c r="C9" s="4"/>
      <c r="D9" s="4"/>
    </row>
    <row r="10" spans="1:4" x14ac:dyDescent="0.3">
      <c r="A10" s="4"/>
      <c r="B10" s="4"/>
      <c r="C10" s="4"/>
      <c r="D10" s="4"/>
    </row>
  </sheetData>
  <mergeCells count="2">
    <mergeCell ref="A1:C1"/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1FEE-4E8E-4C9A-B5BD-EB972E1B3404}">
  <dimension ref="A1:H138"/>
  <sheetViews>
    <sheetView zoomScale="98" zoomScaleNormal="98" workbookViewId="0">
      <selection activeCell="H3" sqref="H3:H8"/>
    </sheetView>
  </sheetViews>
  <sheetFormatPr baseColWidth="10" defaultRowHeight="16.5" x14ac:dyDescent="0.3"/>
  <cols>
    <col min="1" max="4" width="11.5" customWidth="1"/>
    <col min="5" max="5" width="14.25" customWidth="1"/>
    <col min="6" max="6" width="13.25" customWidth="1"/>
    <col min="7" max="8" width="11.5" customWidth="1"/>
  </cols>
  <sheetData>
    <row r="1" spans="1:8" x14ac:dyDescent="0.3">
      <c r="A1" s="17" t="s">
        <v>31</v>
      </c>
      <c r="B1" s="17"/>
      <c r="C1" s="17"/>
      <c r="D1" s="17"/>
      <c r="E1" s="17"/>
      <c r="F1" s="17"/>
      <c r="G1" s="17"/>
      <c r="H1" s="17"/>
    </row>
    <row r="2" spans="1:8" x14ac:dyDescent="0.3">
      <c r="A2" s="10" t="s">
        <v>5</v>
      </c>
      <c r="B2" s="10" t="s">
        <v>30</v>
      </c>
      <c r="C2" s="10" t="s">
        <v>24</v>
      </c>
      <c r="D2" s="10" t="s">
        <v>29</v>
      </c>
      <c r="E2" s="10" t="s">
        <v>23</v>
      </c>
      <c r="F2" s="10" t="s">
        <v>21</v>
      </c>
      <c r="G2" s="10" t="s">
        <v>10</v>
      </c>
      <c r="H2" s="10" t="s">
        <v>11</v>
      </c>
    </row>
    <row r="3" spans="1:8" x14ac:dyDescent="0.3">
      <c r="A3" s="10">
        <v>1</v>
      </c>
      <c r="B3" s="5">
        <v>3</v>
      </c>
      <c r="C3" s="5">
        <v>4</v>
      </c>
      <c r="D3" s="5">
        <f>B3^3 - EXP(0.8*B3) - 20</f>
        <v>-4.0231763806416048</v>
      </c>
      <c r="E3" s="5">
        <f>C3^3 - EXP(0.8*C3) - 20</f>
        <v>19.467469802890648</v>
      </c>
      <c r="F3" s="5">
        <f t="shared" ref="F3:F8" si="0">C3 - E3*(C3-B3)/(E3-D3)</f>
        <v>3.1712671652030582</v>
      </c>
      <c r="G3" s="12">
        <f t="shared" ref="G3:G8" si="1">ABS(F3-C3)</f>
        <v>0.82873283479694182</v>
      </c>
      <c r="H3" s="1" t="str">
        <f>IF(OR(ABS(F3)&lt;CONFIG!$B$5,G3&lt;CONFIG!$B$5),"✓","→")</f>
        <v>→</v>
      </c>
    </row>
    <row r="4" spans="1:8" x14ac:dyDescent="0.3">
      <c r="A4" s="10">
        <f>A3+1</f>
        <v>2</v>
      </c>
      <c r="B4" s="5">
        <f>C3</f>
        <v>4</v>
      </c>
      <c r="C4" s="5">
        <f>F3</f>
        <v>3.1712671652030582</v>
      </c>
      <c r="D4" s="5">
        <f>E3</f>
        <v>19.467469802890648</v>
      </c>
      <c r="E4" s="5">
        <f>C4^3 - EXP(0.8*C4) - 20</f>
        <v>-0.74863343680182481</v>
      </c>
      <c r="F4" s="5">
        <f t="shared" si="0"/>
        <v>3.2019564183666658</v>
      </c>
      <c r="G4" s="12">
        <f t="shared" si="1"/>
        <v>3.0689253163607599E-2</v>
      </c>
      <c r="H4" s="1" t="str">
        <f>IF(OR(ABS(F4)&lt;CONFIG!$B$5,G4&lt;CONFIG!$B$5),"✓","→")</f>
        <v>→</v>
      </c>
    </row>
    <row r="5" spans="1:8" x14ac:dyDescent="0.3">
      <c r="A5" s="10">
        <f>A4+1</f>
        <v>3</v>
      </c>
      <c r="B5" s="5">
        <f>C4</f>
        <v>3.1712671652030582</v>
      </c>
      <c r="C5" s="5">
        <f>F4</f>
        <v>3.2019564183666658</v>
      </c>
      <c r="D5" s="5">
        <f>E4</f>
        <v>-0.74863343680182481</v>
      </c>
      <c r="E5" s="5">
        <f>C5^3 - EXP(0.8*C5) - 20</f>
        <v>-0.12794153995860569</v>
      </c>
      <c r="F5" s="5">
        <f t="shared" si="0"/>
        <v>3.2082823110195275</v>
      </c>
      <c r="G5" s="12">
        <f t="shared" si="1"/>
        <v>6.3258926528617643E-3</v>
      </c>
      <c r="H5" s="1" t="str">
        <f>IF(OR(ABS(F5)&lt;CONFIG!$B$5,G5&lt;CONFIG!$B$5),"✓","→")</f>
        <v>→</v>
      </c>
    </row>
    <row r="6" spans="1:8" x14ac:dyDescent="0.3">
      <c r="A6" s="10">
        <f>A5+1</f>
        <v>4</v>
      </c>
      <c r="B6" s="5">
        <f>C5</f>
        <v>3.2019564183666658</v>
      </c>
      <c r="C6" s="5">
        <f>F5</f>
        <v>3.2082823110195275</v>
      </c>
      <c r="D6" s="5">
        <f>E5</f>
        <v>-0.12794153995860569</v>
      </c>
      <c r="E6" s="5">
        <f>C6^3 - EXP(0.8*C6) - 20</f>
        <v>1.2790238789150976E-3</v>
      </c>
      <c r="F6" s="5">
        <f t="shared" si="0"/>
        <v>3.208219697395827</v>
      </c>
      <c r="G6" s="12">
        <f t="shared" si="1"/>
        <v>6.2613623700524812E-5</v>
      </c>
      <c r="H6" s="1" t="str">
        <f>IF(OR(ABS(F6)&lt;CONFIG!$B$5,G6&lt;CONFIG!$B$5),"✓","→")</f>
        <v>→</v>
      </c>
    </row>
    <row r="7" spans="1:8" x14ac:dyDescent="0.3">
      <c r="A7" s="10">
        <f>A6+1</f>
        <v>5</v>
      </c>
      <c r="B7" s="5">
        <f>C6</f>
        <v>3.2082823110195275</v>
      </c>
      <c r="C7" s="5">
        <f>F6</f>
        <v>3.208219697395827</v>
      </c>
      <c r="D7" s="5">
        <f>E6</f>
        <v>1.2790238789150976E-3</v>
      </c>
      <c r="E7" s="5">
        <f>C7^3 - EXP(0.8*C7) - 20</f>
        <v>-2.1406681440794273E-6</v>
      </c>
      <c r="F7" s="5">
        <f t="shared" si="0"/>
        <v>3.2082198020154795</v>
      </c>
      <c r="G7" s="12">
        <f t="shared" si="1"/>
        <v>1.0461965249675131E-7</v>
      </c>
      <c r="H7" s="1" t="str">
        <f>IF(OR(ABS(F7)&lt;CONFIG!$B$5,G7&lt;CONFIG!$B$5),"✓","→")</f>
        <v>✓</v>
      </c>
    </row>
    <row r="8" spans="1:8" x14ac:dyDescent="0.3">
      <c r="A8" s="10">
        <f>A7+1</f>
        <v>6</v>
      </c>
      <c r="B8" s="5">
        <f>C7</f>
        <v>3.208219697395827</v>
      </c>
      <c r="C8" s="5">
        <f>F7</f>
        <v>3.2082198020154795</v>
      </c>
      <c r="D8" s="5">
        <f>E7</f>
        <v>-2.1406681440794273E-6</v>
      </c>
      <c r="E8" s="5">
        <f>C8^3 - EXP(0.8*C8) - 20</f>
        <v>-3.5687008903551032E-11</v>
      </c>
      <c r="F8" s="5">
        <f t="shared" si="0"/>
        <v>3.2082198020172235</v>
      </c>
      <c r="G8" s="12">
        <f t="shared" si="1"/>
        <v>1.7439383270811959E-12</v>
      </c>
      <c r="H8" s="1" t="str">
        <f>IF(OR(ABS(F8)&lt;CONFIG!$B$5,G8&lt;CONFIG!$B$5),"✓","→")</f>
        <v>✓</v>
      </c>
    </row>
    <row r="9" spans="1:8" x14ac:dyDescent="0.3">
      <c r="A9" s="1"/>
      <c r="B9" s="5"/>
      <c r="C9" s="5"/>
      <c r="D9" s="5"/>
      <c r="E9" s="5"/>
      <c r="F9" s="5"/>
      <c r="G9" s="5"/>
      <c r="H9" s="1"/>
    </row>
    <row r="10" spans="1:8" x14ac:dyDescent="0.3">
      <c r="A10" s="1"/>
      <c r="B10" s="5"/>
      <c r="C10" s="5"/>
      <c r="D10" s="5"/>
      <c r="E10" s="5"/>
      <c r="F10" s="5"/>
      <c r="G10" s="5"/>
      <c r="H10" s="1"/>
    </row>
    <row r="11" spans="1:8" x14ac:dyDescent="0.3">
      <c r="A11" s="1"/>
      <c r="B11" s="5"/>
      <c r="C11" s="5"/>
      <c r="D11" s="5"/>
      <c r="E11" s="5"/>
      <c r="F11" s="5"/>
      <c r="G11" s="5"/>
      <c r="H11" s="1"/>
    </row>
    <row r="12" spans="1:8" x14ac:dyDescent="0.3">
      <c r="A12" s="1"/>
      <c r="B12" s="5"/>
      <c r="C12" s="5"/>
      <c r="D12" s="5"/>
      <c r="E12" s="5"/>
      <c r="F12" s="5"/>
      <c r="G12" s="5"/>
      <c r="H12" s="1"/>
    </row>
    <row r="13" spans="1:8" x14ac:dyDescent="0.3">
      <c r="A13" s="1"/>
      <c r="B13" s="5"/>
      <c r="C13" s="5"/>
      <c r="D13" s="5"/>
      <c r="E13" s="5"/>
      <c r="F13" s="5"/>
      <c r="G13" s="5"/>
      <c r="H13" s="1"/>
    </row>
    <row r="14" spans="1:8" x14ac:dyDescent="0.3">
      <c r="A14" s="1"/>
      <c r="B14" s="5"/>
      <c r="C14" s="5"/>
      <c r="D14" s="5"/>
      <c r="E14" s="5"/>
      <c r="F14" s="5"/>
      <c r="G14" s="5"/>
      <c r="H14" s="1"/>
    </row>
    <row r="15" spans="1:8" x14ac:dyDescent="0.3">
      <c r="A15" s="1"/>
      <c r="B15" s="5"/>
      <c r="C15" s="5"/>
      <c r="D15" s="5"/>
      <c r="E15" s="5"/>
      <c r="F15" s="5"/>
      <c r="G15" s="5"/>
      <c r="H15" s="1"/>
    </row>
    <row r="16" spans="1:8" x14ac:dyDescent="0.3">
      <c r="A16" s="1"/>
      <c r="B16" s="5"/>
      <c r="C16" s="5"/>
      <c r="D16" s="5"/>
      <c r="E16" s="5"/>
      <c r="F16" s="5"/>
      <c r="G16" s="5"/>
      <c r="H16" s="1"/>
    </row>
    <row r="17" spans="1:8" x14ac:dyDescent="0.3">
      <c r="A17" s="1"/>
      <c r="B17" s="5"/>
      <c r="C17" s="5"/>
      <c r="D17" s="5"/>
      <c r="E17" s="5"/>
      <c r="F17" s="5"/>
      <c r="G17" s="5"/>
      <c r="H17" s="1"/>
    </row>
    <row r="18" spans="1:8" x14ac:dyDescent="0.3">
      <c r="A18" s="1"/>
      <c r="B18" s="5"/>
      <c r="C18" s="5"/>
      <c r="D18" s="5"/>
      <c r="E18" s="5"/>
      <c r="F18" s="5"/>
      <c r="G18" s="5"/>
      <c r="H18" s="1"/>
    </row>
    <row r="19" spans="1:8" x14ac:dyDescent="0.3">
      <c r="A19" s="1"/>
      <c r="B19" s="5"/>
      <c r="C19" s="5"/>
      <c r="D19" s="5"/>
      <c r="E19" s="5"/>
      <c r="F19" s="5"/>
      <c r="G19" s="5"/>
      <c r="H19" s="1"/>
    </row>
    <row r="20" spans="1:8" x14ac:dyDescent="0.3">
      <c r="A20" s="1"/>
      <c r="B20" s="5"/>
      <c r="C20" s="5"/>
      <c r="D20" s="5"/>
      <c r="E20" s="5"/>
      <c r="F20" s="5"/>
      <c r="G20" s="5"/>
      <c r="H20" s="1"/>
    </row>
    <row r="21" spans="1:8" x14ac:dyDescent="0.3">
      <c r="A21" s="1"/>
      <c r="B21" s="5"/>
      <c r="C21" s="5"/>
      <c r="D21" s="5"/>
      <c r="E21" s="5"/>
      <c r="F21" s="5"/>
      <c r="G21" s="5"/>
      <c r="H21" s="1"/>
    </row>
    <row r="22" spans="1:8" x14ac:dyDescent="0.3">
      <c r="A22" s="1"/>
      <c r="B22" s="5"/>
      <c r="C22" s="5"/>
      <c r="D22" s="5"/>
      <c r="E22" s="5"/>
      <c r="F22" s="5"/>
      <c r="G22" s="5"/>
      <c r="H22" s="1"/>
    </row>
    <row r="23" spans="1:8" x14ac:dyDescent="0.3">
      <c r="A23" s="1"/>
      <c r="B23" s="5"/>
      <c r="C23" s="5"/>
      <c r="D23" s="5"/>
      <c r="E23" s="5"/>
      <c r="F23" s="5"/>
      <c r="G23" s="5"/>
      <c r="H23" s="1"/>
    </row>
    <row r="24" spans="1:8" x14ac:dyDescent="0.3">
      <c r="A24" s="1"/>
      <c r="B24" s="5"/>
      <c r="C24" s="5"/>
      <c r="D24" s="5"/>
      <c r="E24" s="5"/>
      <c r="F24" s="5"/>
      <c r="G24" s="5"/>
      <c r="H24" s="1"/>
    </row>
    <row r="25" spans="1:8" x14ac:dyDescent="0.3">
      <c r="A25" s="1"/>
      <c r="B25" s="5"/>
      <c r="C25" s="5"/>
      <c r="D25" s="5"/>
      <c r="E25" s="5"/>
      <c r="F25" s="5"/>
      <c r="G25" s="5"/>
      <c r="H25" s="1"/>
    </row>
    <row r="26" spans="1:8" x14ac:dyDescent="0.3">
      <c r="A26" s="1"/>
      <c r="B26" s="5"/>
      <c r="C26" s="5"/>
      <c r="D26" s="5"/>
      <c r="E26" s="5"/>
      <c r="F26" s="5"/>
      <c r="G26" s="5"/>
      <c r="H26" s="1"/>
    </row>
    <row r="27" spans="1:8" x14ac:dyDescent="0.3">
      <c r="A27" s="1"/>
      <c r="B27" s="5"/>
      <c r="C27" s="5"/>
      <c r="D27" s="5"/>
      <c r="E27" s="5"/>
      <c r="F27" s="5"/>
      <c r="G27" s="5"/>
      <c r="H27" s="1"/>
    </row>
    <row r="28" spans="1:8" x14ac:dyDescent="0.3">
      <c r="A28" s="1"/>
      <c r="B28" s="5"/>
      <c r="C28" s="5"/>
      <c r="D28" s="5"/>
      <c r="E28" s="5"/>
      <c r="F28" s="5"/>
      <c r="G28" s="5"/>
      <c r="H28" s="1"/>
    </row>
    <row r="29" spans="1:8" x14ac:dyDescent="0.3">
      <c r="A29" s="1"/>
      <c r="B29" s="5"/>
      <c r="C29" s="5"/>
      <c r="D29" s="5"/>
      <c r="E29" s="5"/>
      <c r="F29" s="5"/>
      <c r="G29" s="5"/>
      <c r="H29" s="1"/>
    </row>
    <row r="30" spans="1:8" x14ac:dyDescent="0.3">
      <c r="A30" s="1"/>
      <c r="B30" s="5"/>
      <c r="C30" s="5"/>
      <c r="D30" s="5"/>
      <c r="E30" s="5"/>
      <c r="F30" s="5"/>
      <c r="G30" s="5"/>
      <c r="H30" s="1"/>
    </row>
    <row r="31" spans="1:8" x14ac:dyDescent="0.3">
      <c r="A31" s="1"/>
      <c r="B31" s="5"/>
      <c r="C31" s="5"/>
      <c r="D31" s="5"/>
      <c r="E31" s="5"/>
      <c r="F31" s="5"/>
      <c r="G31" s="5"/>
      <c r="H31" s="1"/>
    </row>
    <row r="32" spans="1:8" x14ac:dyDescent="0.3">
      <c r="A32" s="1"/>
      <c r="B32" s="5"/>
      <c r="C32" s="5"/>
      <c r="D32" s="5"/>
      <c r="E32" s="5"/>
      <c r="F32" s="5"/>
      <c r="G32" s="5"/>
      <c r="H32" s="1"/>
    </row>
    <row r="33" spans="1:8" x14ac:dyDescent="0.3">
      <c r="A33" s="1"/>
      <c r="B33" s="5"/>
      <c r="C33" s="5"/>
      <c r="D33" s="5"/>
      <c r="E33" s="5"/>
      <c r="F33" s="5"/>
      <c r="G33" s="5"/>
      <c r="H33" s="1"/>
    </row>
    <row r="34" spans="1:8" x14ac:dyDescent="0.3">
      <c r="A34" s="1"/>
      <c r="B34" s="5"/>
      <c r="C34" s="5"/>
      <c r="D34" s="5"/>
      <c r="E34" s="5"/>
      <c r="F34" s="5"/>
      <c r="G34" s="5"/>
      <c r="H34" s="1"/>
    </row>
    <row r="35" spans="1:8" x14ac:dyDescent="0.3">
      <c r="A35" s="1"/>
      <c r="B35" s="5"/>
      <c r="C35" s="5"/>
      <c r="D35" s="5"/>
      <c r="E35" s="5"/>
      <c r="F35" s="5"/>
      <c r="G35" s="5"/>
      <c r="H35" s="1"/>
    </row>
    <row r="36" spans="1:8" x14ac:dyDescent="0.3">
      <c r="A36" s="1"/>
      <c r="B36" s="5"/>
      <c r="C36" s="5"/>
      <c r="D36" s="5"/>
      <c r="E36" s="5"/>
      <c r="F36" s="5"/>
      <c r="G36" s="5"/>
      <c r="H36" s="1"/>
    </row>
    <row r="37" spans="1:8" x14ac:dyDescent="0.3">
      <c r="A37" s="1"/>
      <c r="B37" s="5"/>
      <c r="C37" s="5"/>
      <c r="D37" s="5"/>
      <c r="E37" s="5"/>
      <c r="F37" s="5"/>
      <c r="G37" s="5"/>
      <c r="H37" s="1"/>
    </row>
    <row r="38" spans="1:8" x14ac:dyDescent="0.3">
      <c r="A38" s="1"/>
      <c r="B38" s="5"/>
      <c r="C38" s="5"/>
      <c r="D38" s="5"/>
      <c r="E38" s="5"/>
      <c r="F38" s="5"/>
      <c r="G38" s="5"/>
      <c r="H38" s="1"/>
    </row>
    <row r="39" spans="1:8" x14ac:dyDescent="0.3">
      <c r="A39" s="1"/>
      <c r="B39" s="5"/>
      <c r="C39" s="5"/>
      <c r="D39" s="5"/>
      <c r="E39" s="5"/>
      <c r="F39" s="5"/>
      <c r="G39" s="5"/>
      <c r="H39" s="1"/>
    </row>
    <row r="40" spans="1:8" x14ac:dyDescent="0.3">
      <c r="A40" s="1"/>
      <c r="B40" s="5"/>
      <c r="C40" s="5"/>
      <c r="D40" s="5"/>
      <c r="E40" s="5"/>
      <c r="F40" s="5"/>
      <c r="G40" s="5"/>
      <c r="H40" s="1"/>
    </row>
    <row r="41" spans="1:8" x14ac:dyDescent="0.3">
      <c r="A41" s="1"/>
      <c r="B41" s="5"/>
      <c r="C41" s="5"/>
      <c r="D41" s="5"/>
      <c r="E41" s="5"/>
      <c r="F41" s="5"/>
      <c r="G41" s="5"/>
      <c r="H41" s="1"/>
    </row>
    <row r="42" spans="1:8" x14ac:dyDescent="0.3">
      <c r="A42" s="1"/>
      <c r="B42" s="5"/>
      <c r="C42" s="5"/>
      <c r="D42" s="5"/>
      <c r="E42" s="5"/>
      <c r="F42" s="5"/>
      <c r="G42" s="5"/>
      <c r="H42" s="1"/>
    </row>
    <row r="43" spans="1:8" x14ac:dyDescent="0.3">
      <c r="A43" s="1"/>
      <c r="B43" s="5"/>
      <c r="C43" s="5"/>
      <c r="D43" s="5"/>
      <c r="E43" s="5"/>
      <c r="F43" s="5"/>
      <c r="G43" s="5"/>
      <c r="H43" s="1"/>
    </row>
    <row r="44" spans="1:8" x14ac:dyDescent="0.3">
      <c r="A44" s="1"/>
      <c r="B44" s="5"/>
      <c r="C44" s="5"/>
      <c r="D44" s="5"/>
      <c r="E44" s="5"/>
      <c r="F44" s="5"/>
      <c r="G44" s="5"/>
      <c r="H44" s="1"/>
    </row>
    <row r="45" spans="1:8" x14ac:dyDescent="0.3">
      <c r="A45" s="1"/>
      <c r="B45" s="5"/>
      <c r="C45" s="5"/>
      <c r="D45" s="5"/>
      <c r="E45" s="5"/>
      <c r="F45" s="5"/>
      <c r="G45" s="5"/>
      <c r="H45" s="1"/>
    </row>
    <row r="46" spans="1:8" x14ac:dyDescent="0.3">
      <c r="A46" s="1"/>
      <c r="B46" s="5"/>
      <c r="C46" s="5"/>
      <c r="D46" s="5"/>
      <c r="E46" s="5"/>
      <c r="F46" s="5"/>
      <c r="G46" s="5"/>
      <c r="H46" s="1"/>
    </row>
    <row r="47" spans="1:8" x14ac:dyDescent="0.3">
      <c r="A47" s="1"/>
      <c r="B47" s="5"/>
      <c r="C47" s="5"/>
      <c r="D47" s="5"/>
      <c r="E47" s="5"/>
      <c r="F47" s="5"/>
      <c r="G47" s="5"/>
      <c r="H47" s="1"/>
    </row>
    <row r="48" spans="1:8" x14ac:dyDescent="0.3">
      <c r="A48" s="1"/>
      <c r="B48" s="5"/>
      <c r="C48" s="5"/>
      <c r="D48" s="5"/>
      <c r="E48" s="5"/>
      <c r="F48" s="5"/>
      <c r="G48" s="5"/>
      <c r="H48" s="1"/>
    </row>
    <row r="49" spans="1:8" x14ac:dyDescent="0.3">
      <c r="A49" s="1"/>
      <c r="B49" s="5"/>
      <c r="C49" s="5"/>
      <c r="D49" s="5"/>
      <c r="E49" s="5"/>
      <c r="F49" s="5"/>
      <c r="G49" s="5"/>
      <c r="H49" s="1"/>
    </row>
    <row r="50" spans="1:8" x14ac:dyDescent="0.3">
      <c r="A50" s="1"/>
      <c r="B50" s="5"/>
      <c r="C50" s="5"/>
      <c r="D50" s="5"/>
      <c r="E50" s="5"/>
      <c r="F50" s="5"/>
      <c r="G50" s="5"/>
      <c r="H50" s="1"/>
    </row>
    <row r="51" spans="1:8" x14ac:dyDescent="0.3">
      <c r="A51" s="1"/>
      <c r="B51" s="5"/>
      <c r="C51" s="5"/>
      <c r="D51" s="5"/>
      <c r="E51" s="5"/>
      <c r="F51" s="5"/>
      <c r="G51" s="5"/>
      <c r="H51" s="1"/>
    </row>
    <row r="52" spans="1:8" x14ac:dyDescent="0.3">
      <c r="A52" s="1"/>
      <c r="B52" s="5"/>
      <c r="C52" s="5"/>
      <c r="D52" s="5"/>
      <c r="E52" s="5"/>
      <c r="F52" s="5"/>
      <c r="G52" s="5"/>
      <c r="H52" s="1"/>
    </row>
    <row r="53" spans="1:8" x14ac:dyDescent="0.3">
      <c r="A53" s="1"/>
      <c r="B53" s="5"/>
      <c r="C53" s="5"/>
      <c r="D53" s="5"/>
      <c r="E53" s="5"/>
      <c r="F53" s="5"/>
      <c r="G53" s="5"/>
      <c r="H53" s="1"/>
    </row>
    <row r="54" spans="1:8" x14ac:dyDescent="0.3">
      <c r="A54" s="1"/>
      <c r="B54" s="5"/>
      <c r="C54" s="5"/>
      <c r="D54" s="5"/>
      <c r="E54" s="5"/>
      <c r="F54" s="5"/>
      <c r="G54" s="5"/>
      <c r="H54" s="1"/>
    </row>
    <row r="55" spans="1:8" x14ac:dyDescent="0.3">
      <c r="A55" s="1"/>
      <c r="B55" s="5"/>
      <c r="C55" s="5"/>
      <c r="D55" s="5"/>
      <c r="E55" s="5"/>
      <c r="F55" s="5"/>
      <c r="G55" s="5"/>
      <c r="H55" s="1"/>
    </row>
    <row r="56" spans="1:8" x14ac:dyDescent="0.3">
      <c r="A56" s="1"/>
      <c r="B56" s="5"/>
      <c r="C56" s="5"/>
      <c r="D56" s="5"/>
      <c r="E56" s="5"/>
      <c r="F56" s="5"/>
      <c r="G56" s="5"/>
      <c r="H56" s="1"/>
    </row>
    <row r="57" spans="1:8" x14ac:dyDescent="0.3">
      <c r="A57" s="1"/>
      <c r="B57" s="5"/>
      <c r="C57" s="5"/>
      <c r="D57" s="5"/>
      <c r="E57" s="5"/>
      <c r="F57" s="5"/>
      <c r="G57" s="5"/>
      <c r="H57" s="1"/>
    </row>
    <row r="58" spans="1:8" x14ac:dyDescent="0.3">
      <c r="A58" s="1"/>
      <c r="B58" s="5"/>
      <c r="C58" s="5"/>
      <c r="D58" s="5"/>
      <c r="E58" s="5"/>
      <c r="F58" s="5"/>
      <c r="G58" s="5"/>
      <c r="H58" s="1"/>
    </row>
    <row r="59" spans="1:8" x14ac:dyDescent="0.3">
      <c r="A59" s="1"/>
      <c r="B59" s="5"/>
      <c r="C59" s="5"/>
      <c r="D59" s="5"/>
      <c r="E59" s="5"/>
      <c r="F59" s="5"/>
      <c r="G59" s="5"/>
      <c r="H59" s="1"/>
    </row>
    <row r="60" spans="1:8" x14ac:dyDescent="0.3">
      <c r="A60" s="1"/>
      <c r="B60" s="5"/>
      <c r="C60" s="5"/>
      <c r="D60" s="5"/>
      <c r="E60" s="5"/>
      <c r="F60" s="5"/>
      <c r="G60" s="5"/>
      <c r="H60" s="1"/>
    </row>
    <row r="61" spans="1:8" x14ac:dyDescent="0.3">
      <c r="A61" s="1"/>
      <c r="B61" s="5"/>
      <c r="C61" s="5"/>
      <c r="D61" s="5"/>
      <c r="E61" s="5"/>
      <c r="F61" s="5"/>
      <c r="G61" s="5"/>
      <c r="H61" s="1"/>
    </row>
    <row r="62" spans="1:8" x14ac:dyDescent="0.3">
      <c r="A62" s="1"/>
      <c r="B62" s="5"/>
      <c r="C62" s="5"/>
      <c r="D62" s="5"/>
      <c r="E62" s="5"/>
      <c r="F62" s="5"/>
      <c r="G62" s="5"/>
      <c r="H62" s="1"/>
    </row>
    <row r="63" spans="1:8" x14ac:dyDescent="0.3">
      <c r="A63" s="1"/>
      <c r="B63" s="5"/>
      <c r="C63" s="5"/>
      <c r="D63" s="5"/>
      <c r="E63" s="5"/>
      <c r="F63" s="5"/>
      <c r="G63" s="5"/>
      <c r="H63" s="1"/>
    </row>
    <row r="64" spans="1:8" x14ac:dyDescent="0.3">
      <c r="A64" s="1"/>
      <c r="B64" s="5"/>
      <c r="C64" s="5"/>
      <c r="D64" s="5"/>
      <c r="E64" s="5"/>
      <c r="F64" s="5"/>
      <c r="G64" s="5"/>
      <c r="H64" s="1"/>
    </row>
    <row r="65" spans="1:8" x14ac:dyDescent="0.3">
      <c r="A65" s="1"/>
      <c r="B65" s="5"/>
      <c r="C65" s="5"/>
      <c r="D65" s="5"/>
      <c r="E65" s="5"/>
      <c r="F65" s="5"/>
      <c r="G65" s="5"/>
      <c r="H65" s="1"/>
    </row>
    <row r="66" spans="1:8" x14ac:dyDescent="0.3">
      <c r="A66" s="1"/>
      <c r="B66" s="5"/>
      <c r="C66" s="5"/>
      <c r="D66" s="5"/>
      <c r="E66" s="5"/>
      <c r="F66" s="5"/>
      <c r="G66" s="5"/>
      <c r="H66" s="1"/>
    </row>
    <row r="67" spans="1:8" x14ac:dyDescent="0.3">
      <c r="A67" s="1"/>
      <c r="B67" s="5"/>
      <c r="C67" s="5"/>
      <c r="D67" s="5"/>
      <c r="E67" s="5"/>
      <c r="F67" s="5"/>
      <c r="G67" s="5"/>
      <c r="H67" s="1"/>
    </row>
    <row r="68" spans="1:8" x14ac:dyDescent="0.3">
      <c r="A68" s="1"/>
      <c r="B68" s="5"/>
      <c r="C68" s="5"/>
      <c r="D68" s="5"/>
      <c r="E68" s="5"/>
      <c r="F68" s="5"/>
      <c r="G68" s="5"/>
      <c r="H68" s="1"/>
    </row>
    <row r="69" spans="1:8" x14ac:dyDescent="0.3">
      <c r="A69" s="1"/>
      <c r="B69" s="5"/>
      <c r="C69" s="5"/>
      <c r="D69" s="5"/>
      <c r="E69" s="5"/>
      <c r="F69" s="5"/>
      <c r="G69" s="5"/>
      <c r="H69" s="1"/>
    </row>
    <row r="70" spans="1:8" x14ac:dyDescent="0.3">
      <c r="A70" s="1"/>
      <c r="B70" s="5"/>
      <c r="C70" s="5"/>
      <c r="D70" s="5"/>
      <c r="E70" s="5"/>
      <c r="F70" s="5"/>
      <c r="G70" s="5"/>
      <c r="H70" s="1"/>
    </row>
    <row r="71" spans="1:8" x14ac:dyDescent="0.3">
      <c r="A71" s="1"/>
      <c r="B71" s="5"/>
      <c r="C71" s="5"/>
      <c r="D71" s="5"/>
      <c r="E71" s="5"/>
      <c r="F71" s="5"/>
      <c r="G71" s="5"/>
      <c r="H71" s="1"/>
    </row>
    <row r="72" spans="1:8" x14ac:dyDescent="0.3">
      <c r="A72" s="1"/>
      <c r="B72" s="5"/>
      <c r="C72" s="5"/>
      <c r="D72" s="5"/>
      <c r="E72" s="5"/>
      <c r="F72" s="5"/>
      <c r="G72" s="5"/>
      <c r="H72" s="1"/>
    </row>
    <row r="73" spans="1:8" x14ac:dyDescent="0.3">
      <c r="A73" s="1"/>
      <c r="B73" s="5"/>
      <c r="C73" s="5"/>
      <c r="D73" s="5"/>
      <c r="E73" s="5"/>
      <c r="F73" s="5"/>
      <c r="G73" s="5"/>
      <c r="H73" s="1"/>
    </row>
    <row r="74" spans="1:8" x14ac:dyDescent="0.3">
      <c r="A74" s="1"/>
      <c r="B74" s="5"/>
      <c r="C74" s="5"/>
      <c r="D74" s="5"/>
      <c r="E74" s="5"/>
      <c r="F74" s="5"/>
      <c r="G74" s="5"/>
      <c r="H74" s="1"/>
    </row>
    <row r="75" spans="1:8" x14ac:dyDescent="0.3">
      <c r="A75" s="1"/>
      <c r="B75" s="5"/>
      <c r="C75" s="5"/>
      <c r="D75" s="5"/>
      <c r="E75" s="5"/>
      <c r="F75" s="5"/>
      <c r="G75" s="5"/>
      <c r="H75" s="1"/>
    </row>
    <row r="76" spans="1:8" x14ac:dyDescent="0.3">
      <c r="A76" s="1"/>
      <c r="B76" s="5"/>
      <c r="C76" s="5"/>
      <c r="D76" s="5"/>
      <c r="E76" s="5"/>
      <c r="F76" s="5"/>
      <c r="G76" s="5"/>
      <c r="H76" s="1"/>
    </row>
    <row r="77" spans="1:8" x14ac:dyDescent="0.3">
      <c r="A77" s="1"/>
      <c r="B77" s="5"/>
      <c r="C77" s="5"/>
      <c r="D77" s="5"/>
      <c r="E77" s="5"/>
      <c r="F77" s="5"/>
      <c r="G77" s="5"/>
      <c r="H77" s="1"/>
    </row>
    <row r="78" spans="1:8" x14ac:dyDescent="0.3">
      <c r="A78" s="1"/>
      <c r="B78" s="5"/>
      <c r="C78" s="5"/>
      <c r="D78" s="5"/>
      <c r="E78" s="5"/>
      <c r="F78" s="5"/>
      <c r="G78" s="5"/>
      <c r="H78" s="1"/>
    </row>
    <row r="79" spans="1:8" x14ac:dyDescent="0.3">
      <c r="A79" s="1"/>
      <c r="B79" s="5"/>
      <c r="C79" s="5"/>
      <c r="D79" s="5"/>
      <c r="E79" s="5"/>
      <c r="F79" s="5"/>
      <c r="G79" s="5"/>
      <c r="H79" s="1"/>
    </row>
    <row r="80" spans="1:8" x14ac:dyDescent="0.3">
      <c r="A80" s="1"/>
      <c r="B80" s="5"/>
      <c r="C80" s="5"/>
      <c r="D80" s="5"/>
      <c r="E80" s="5"/>
      <c r="F80" s="5"/>
      <c r="G80" s="5"/>
      <c r="H80" s="1"/>
    </row>
    <row r="81" spans="1:8" x14ac:dyDescent="0.3">
      <c r="A81" s="1"/>
      <c r="B81" s="5"/>
      <c r="C81" s="5"/>
      <c r="D81" s="5"/>
      <c r="E81" s="5"/>
      <c r="F81" s="5"/>
      <c r="G81" s="5"/>
      <c r="H81" s="1"/>
    </row>
    <row r="82" spans="1:8" x14ac:dyDescent="0.3">
      <c r="A82" s="1"/>
      <c r="B82" s="5"/>
      <c r="C82" s="5"/>
      <c r="D82" s="5"/>
      <c r="E82" s="5"/>
      <c r="F82" s="5"/>
      <c r="G82" s="5"/>
      <c r="H82" s="1"/>
    </row>
    <row r="83" spans="1:8" x14ac:dyDescent="0.3">
      <c r="A83" s="1"/>
      <c r="B83" s="5"/>
      <c r="C83" s="5"/>
      <c r="D83" s="5"/>
      <c r="E83" s="5"/>
      <c r="F83" s="5"/>
      <c r="G83" s="5"/>
      <c r="H83" s="1"/>
    </row>
    <row r="84" spans="1:8" x14ac:dyDescent="0.3">
      <c r="A84" s="1"/>
      <c r="B84" s="5"/>
      <c r="C84" s="5"/>
      <c r="D84" s="5"/>
      <c r="E84" s="5"/>
      <c r="F84" s="5"/>
      <c r="G84" s="5"/>
      <c r="H84" s="1"/>
    </row>
    <row r="85" spans="1:8" x14ac:dyDescent="0.3">
      <c r="A85" s="1"/>
      <c r="B85" s="5"/>
      <c r="C85" s="5"/>
      <c r="D85" s="5"/>
      <c r="E85" s="5"/>
      <c r="F85" s="5"/>
      <c r="G85" s="5"/>
      <c r="H85" s="1"/>
    </row>
    <row r="86" spans="1:8" x14ac:dyDescent="0.3">
      <c r="A86" s="1"/>
      <c r="B86" s="5"/>
      <c r="C86" s="5"/>
      <c r="D86" s="5"/>
      <c r="E86" s="5"/>
      <c r="F86" s="5"/>
      <c r="G86" s="5"/>
      <c r="H86" s="1"/>
    </row>
    <row r="87" spans="1:8" x14ac:dyDescent="0.3">
      <c r="A87" s="1"/>
      <c r="B87" s="5"/>
      <c r="C87" s="5"/>
      <c r="D87" s="5"/>
      <c r="E87" s="5"/>
      <c r="F87" s="5"/>
      <c r="G87" s="5"/>
      <c r="H87" s="1"/>
    </row>
    <row r="88" spans="1:8" x14ac:dyDescent="0.3">
      <c r="A88" s="1"/>
      <c r="B88" s="5"/>
      <c r="C88" s="5"/>
      <c r="D88" s="5"/>
      <c r="E88" s="5"/>
      <c r="F88" s="5"/>
      <c r="G88" s="5"/>
      <c r="H88" s="1"/>
    </row>
    <row r="89" spans="1:8" x14ac:dyDescent="0.3">
      <c r="A89" s="1"/>
      <c r="B89" s="5"/>
      <c r="C89" s="5"/>
      <c r="D89" s="5"/>
      <c r="E89" s="5"/>
      <c r="F89" s="5"/>
      <c r="G89" s="5"/>
      <c r="H89" s="1"/>
    </row>
    <row r="90" spans="1:8" x14ac:dyDescent="0.3">
      <c r="A90" s="1"/>
      <c r="B90" s="5"/>
      <c r="C90" s="5"/>
      <c r="D90" s="5"/>
      <c r="E90" s="5"/>
      <c r="F90" s="5"/>
      <c r="G90" s="5"/>
      <c r="H90" s="1"/>
    </row>
    <row r="91" spans="1:8" x14ac:dyDescent="0.3">
      <c r="A91" s="1"/>
      <c r="B91" s="5"/>
      <c r="C91" s="5"/>
      <c r="D91" s="5"/>
      <c r="E91" s="5"/>
      <c r="F91" s="5"/>
      <c r="G91" s="5"/>
      <c r="H91" s="1"/>
    </row>
    <row r="92" spans="1:8" x14ac:dyDescent="0.3">
      <c r="A92" s="1"/>
      <c r="B92" s="5"/>
      <c r="C92" s="5"/>
      <c r="D92" s="5"/>
      <c r="E92" s="5"/>
      <c r="F92" s="5"/>
      <c r="G92" s="5"/>
      <c r="H92" s="1"/>
    </row>
    <row r="93" spans="1:8" x14ac:dyDescent="0.3">
      <c r="A93" s="1"/>
      <c r="B93" s="5"/>
      <c r="C93" s="5"/>
      <c r="D93" s="5"/>
      <c r="E93" s="5"/>
      <c r="F93" s="5"/>
      <c r="G93" s="5"/>
      <c r="H93" s="1"/>
    </row>
    <row r="94" spans="1:8" x14ac:dyDescent="0.3">
      <c r="A94" s="1"/>
      <c r="B94" s="5"/>
      <c r="C94" s="5"/>
      <c r="D94" s="5"/>
      <c r="E94" s="5"/>
      <c r="F94" s="5"/>
      <c r="G94" s="5"/>
      <c r="H94" s="1"/>
    </row>
    <row r="95" spans="1:8" x14ac:dyDescent="0.3">
      <c r="A95" s="1"/>
      <c r="B95" s="5"/>
      <c r="C95" s="5"/>
      <c r="D95" s="5"/>
      <c r="E95" s="5"/>
      <c r="F95" s="5"/>
      <c r="G95" s="5"/>
      <c r="H95" s="1"/>
    </row>
    <row r="96" spans="1:8" x14ac:dyDescent="0.3">
      <c r="A96" s="1"/>
      <c r="B96" s="5"/>
      <c r="C96" s="5"/>
      <c r="D96" s="5"/>
      <c r="E96" s="5"/>
      <c r="F96" s="5"/>
      <c r="G96" s="5"/>
      <c r="H96" s="1"/>
    </row>
    <row r="97" spans="1:8" x14ac:dyDescent="0.3">
      <c r="A97" s="1"/>
      <c r="B97" s="5"/>
      <c r="C97" s="5"/>
      <c r="D97" s="5"/>
      <c r="E97" s="5"/>
      <c r="F97" s="5"/>
      <c r="G97" s="5"/>
      <c r="H97" s="1"/>
    </row>
    <row r="98" spans="1:8" x14ac:dyDescent="0.3">
      <c r="A98" s="1"/>
      <c r="B98" s="5"/>
      <c r="C98" s="5"/>
      <c r="D98" s="5"/>
      <c r="E98" s="5"/>
      <c r="F98" s="5"/>
      <c r="G98" s="5"/>
      <c r="H98" s="1"/>
    </row>
    <row r="99" spans="1:8" x14ac:dyDescent="0.3">
      <c r="A99" s="1"/>
      <c r="B99" s="5"/>
      <c r="C99" s="5"/>
      <c r="D99" s="5"/>
      <c r="E99" s="5"/>
      <c r="F99" s="5"/>
      <c r="G99" s="5"/>
      <c r="H99" s="1"/>
    </row>
    <row r="100" spans="1:8" x14ac:dyDescent="0.3">
      <c r="A100" s="1"/>
      <c r="B100" s="5"/>
      <c r="C100" s="5"/>
      <c r="D100" s="5"/>
      <c r="E100" s="5"/>
      <c r="F100" s="5"/>
      <c r="G100" s="5"/>
      <c r="H100" s="1"/>
    </row>
    <row r="101" spans="1:8" x14ac:dyDescent="0.3">
      <c r="A101" s="1"/>
      <c r="B101" s="5"/>
      <c r="C101" s="5"/>
      <c r="D101" s="5"/>
      <c r="E101" s="5"/>
      <c r="F101" s="5"/>
      <c r="G101" s="5"/>
      <c r="H101" s="1"/>
    </row>
    <row r="102" spans="1:8" x14ac:dyDescent="0.3">
      <c r="A102" s="1"/>
      <c r="B102" s="5"/>
      <c r="C102" s="5"/>
      <c r="D102" s="5"/>
      <c r="E102" s="5"/>
      <c r="F102" s="5"/>
      <c r="G102" s="5"/>
      <c r="H102" s="1"/>
    </row>
    <row r="103" spans="1:8" x14ac:dyDescent="0.3">
      <c r="A103" s="1"/>
      <c r="B103" s="5"/>
      <c r="C103" s="5"/>
      <c r="D103" s="5"/>
      <c r="E103" s="5"/>
      <c r="F103" s="5"/>
      <c r="G103" s="5"/>
      <c r="H103" s="1"/>
    </row>
    <row r="104" spans="1:8" x14ac:dyDescent="0.3">
      <c r="A104" s="1"/>
      <c r="B104" s="5"/>
      <c r="C104" s="5"/>
      <c r="D104" s="5"/>
      <c r="E104" s="5"/>
      <c r="F104" s="5"/>
      <c r="G104" s="5"/>
      <c r="H104" s="1"/>
    </row>
    <row r="105" spans="1:8" x14ac:dyDescent="0.3">
      <c r="A105" s="1"/>
      <c r="B105" s="5"/>
      <c r="C105" s="5"/>
      <c r="D105" s="5"/>
      <c r="E105" s="5"/>
      <c r="F105" s="5"/>
      <c r="G105" s="5"/>
      <c r="H105" s="1"/>
    </row>
    <row r="106" spans="1:8" x14ac:dyDescent="0.3">
      <c r="A106" s="1"/>
      <c r="B106" s="5"/>
      <c r="C106" s="5"/>
      <c r="D106" s="5"/>
      <c r="E106" s="5"/>
      <c r="F106" s="5"/>
      <c r="G106" s="5"/>
      <c r="H106" s="1"/>
    </row>
    <row r="107" spans="1:8" x14ac:dyDescent="0.3">
      <c r="A107" s="1"/>
      <c r="B107" s="5"/>
      <c r="C107" s="5"/>
      <c r="D107" s="5"/>
      <c r="E107" s="5"/>
      <c r="F107" s="5"/>
      <c r="G107" s="5"/>
      <c r="H107" s="1"/>
    </row>
    <row r="108" spans="1:8" x14ac:dyDescent="0.3">
      <c r="A108" s="1"/>
      <c r="B108" s="5"/>
      <c r="C108" s="5"/>
      <c r="D108" s="5"/>
      <c r="E108" s="5"/>
      <c r="F108" s="5"/>
      <c r="G108" s="5"/>
      <c r="H108" s="1"/>
    </row>
    <row r="109" spans="1:8" x14ac:dyDescent="0.3">
      <c r="A109" s="1"/>
      <c r="B109" s="5"/>
      <c r="C109" s="5"/>
      <c r="D109" s="5"/>
      <c r="E109" s="5"/>
      <c r="F109" s="5"/>
      <c r="G109" s="5"/>
      <c r="H109" s="1"/>
    </row>
    <row r="110" spans="1:8" x14ac:dyDescent="0.3">
      <c r="A110" s="1"/>
      <c r="B110" s="5"/>
      <c r="C110" s="5"/>
      <c r="D110" s="5"/>
      <c r="E110" s="5"/>
      <c r="F110" s="5"/>
      <c r="G110" s="5"/>
      <c r="H110" s="1"/>
    </row>
    <row r="111" spans="1:8" x14ac:dyDescent="0.3">
      <c r="A111" s="1"/>
      <c r="B111" s="5"/>
      <c r="C111" s="5"/>
      <c r="D111" s="5"/>
      <c r="E111" s="5"/>
      <c r="F111" s="5"/>
      <c r="G111" s="5"/>
      <c r="H111" s="1"/>
    </row>
    <row r="112" spans="1:8" x14ac:dyDescent="0.3">
      <c r="A112" s="1"/>
      <c r="B112" s="5"/>
      <c r="C112" s="5"/>
      <c r="D112" s="5"/>
      <c r="E112" s="5"/>
      <c r="F112" s="5"/>
      <c r="G112" s="5"/>
      <c r="H112" s="1"/>
    </row>
    <row r="113" spans="1:8" x14ac:dyDescent="0.3">
      <c r="A113" s="1"/>
      <c r="B113" s="5"/>
      <c r="C113" s="5"/>
      <c r="D113" s="5"/>
      <c r="E113" s="5"/>
      <c r="F113" s="5"/>
      <c r="G113" s="5"/>
      <c r="H113" s="1"/>
    </row>
    <row r="114" spans="1:8" x14ac:dyDescent="0.3">
      <c r="A114" s="1"/>
      <c r="B114" s="5"/>
      <c r="C114" s="5"/>
      <c r="D114" s="5"/>
      <c r="E114" s="5"/>
      <c r="F114" s="5"/>
      <c r="G114" s="5"/>
      <c r="H114" s="1"/>
    </row>
    <row r="115" spans="1:8" x14ac:dyDescent="0.3">
      <c r="A115" s="1"/>
      <c r="B115" s="5"/>
      <c r="C115" s="5"/>
      <c r="D115" s="5"/>
      <c r="E115" s="5"/>
      <c r="F115" s="5"/>
      <c r="G115" s="5"/>
      <c r="H115" s="1"/>
    </row>
    <row r="116" spans="1:8" x14ac:dyDescent="0.3">
      <c r="A116" s="1"/>
      <c r="B116" s="5"/>
      <c r="C116" s="5"/>
      <c r="D116" s="5"/>
      <c r="E116" s="5"/>
      <c r="F116" s="5"/>
      <c r="G116" s="5"/>
      <c r="H116" s="1"/>
    </row>
    <row r="117" spans="1:8" x14ac:dyDescent="0.3">
      <c r="A117" s="1"/>
      <c r="B117" s="5"/>
      <c r="C117" s="5"/>
      <c r="D117" s="5"/>
      <c r="E117" s="5"/>
      <c r="F117" s="5"/>
      <c r="G117" s="5"/>
      <c r="H117" s="1"/>
    </row>
    <row r="118" spans="1:8" x14ac:dyDescent="0.3">
      <c r="A118" s="1"/>
      <c r="B118" s="5"/>
      <c r="C118" s="5"/>
      <c r="D118" s="5"/>
      <c r="E118" s="5"/>
      <c r="F118" s="5"/>
      <c r="G118" s="5"/>
      <c r="H118" s="1"/>
    </row>
    <row r="119" spans="1:8" x14ac:dyDescent="0.3">
      <c r="A119" s="1"/>
      <c r="B119" s="5"/>
      <c r="C119" s="5"/>
      <c r="D119" s="5"/>
      <c r="E119" s="5"/>
      <c r="F119" s="5"/>
      <c r="G119" s="5"/>
      <c r="H119" s="1"/>
    </row>
    <row r="120" spans="1:8" x14ac:dyDescent="0.3">
      <c r="A120" s="1"/>
      <c r="B120" s="5"/>
      <c r="C120" s="5"/>
      <c r="D120" s="5"/>
      <c r="E120" s="5"/>
      <c r="F120" s="5"/>
      <c r="G120" s="5"/>
      <c r="H120" s="1"/>
    </row>
    <row r="121" spans="1:8" x14ac:dyDescent="0.3">
      <c r="A121" s="1"/>
      <c r="B121" s="5"/>
      <c r="C121" s="5"/>
      <c r="D121" s="5"/>
      <c r="E121" s="5"/>
      <c r="F121" s="5"/>
      <c r="G121" s="5"/>
      <c r="H121" s="1"/>
    </row>
    <row r="122" spans="1:8" x14ac:dyDescent="0.3">
      <c r="A122" s="1"/>
      <c r="B122" s="5"/>
      <c r="C122" s="5"/>
      <c r="D122" s="5"/>
      <c r="E122" s="5"/>
      <c r="F122" s="5"/>
      <c r="G122" s="5"/>
      <c r="H122" s="1"/>
    </row>
    <row r="123" spans="1:8" x14ac:dyDescent="0.3">
      <c r="A123" s="1"/>
      <c r="B123" s="5"/>
      <c r="C123" s="5"/>
      <c r="D123" s="5"/>
      <c r="E123" s="5"/>
      <c r="F123" s="5"/>
      <c r="G123" s="5"/>
      <c r="H123" s="1"/>
    </row>
    <row r="124" spans="1:8" x14ac:dyDescent="0.3">
      <c r="A124" s="1"/>
      <c r="B124" s="5"/>
      <c r="C124" s="5"/>
      <c r="D124" s="5"/>
      <c r="E124" s="5"/>
      <c r="F124" s="5"/>
      <c r="G124" s="5"/>
      <c r="H124" s="1"/>
    </row>
    <row r="125" spans="1:8" x14ac:dyDescent="0.3">
      <c r="A125" s="1"/>
      <c r="B125" s="5"/>
      <c r="C125" s="5"/>
      <c r="D125" s="5"/>
      <c r="E125" s="5"/>
      <c r="F125" s="5"/>
      <c r="G125" s="5"/>
      <c r="H125" s="1"/>
    </row>
    <row r="126" spans="1:8" x14ac:dyDescent="0.3">
      <c r="A126" s="1"/>
      <c r="B126" s="5"/>
      <c r="C126" s="5"/>
      <c r="D126" s="5"/>
      <c r="E126" s="5"/>
      <c r="F126" s="5"/>
      <c r="G126" s="5"/>
      <c r="H126" s="1"/>
    </row>
    <row r="127" spans="1:8" x14ac:dyDescent="0.3">
      <c r="A127" s="1"/>
      <c r="B127" s="5"/>
      <c r="C127" s="5"/>
      <c r="D127" s="5"/>
      <c r="E127" s="5"/>
      <c r="F127" s="5"/>
      <c r="G127" s="5"/>
      <c r="H127" s="1"/>
    </row>
    <row r="128" spans="1:8" x14ac:dyDescent="0.3">
      <c r="A128" s="1"/>
      <c r="B128" s="5"/>
      <c r="C128" s="5"/>
      <c r="D128" s="5"/>
      <c r="E128" s="5"/>
      <c r="F128" s="5"/>
      <c r="G128" s="5"/>
      <c r="H128" s="1"/>
    </row>
    <row r="129" spans="1:8" x14ac:dyDescent="0.3">
      <c r="A129" s="1"/>
      <c r="B129" s="5"/>
      <c r="C129" s="5"/>
      <c r="D129" s="5"/>
      <c r="E129" s="5"/>
      <c r="F129" s="5"/>
      <c r="G129" s="5"/>
      <c r="H129" s="1"/>
    </row>
    <row r="130" spans="1:8" x14ac:dyDescent="0.3">
      <c r="A130" s="1"/>
      <c r="B130" s="5"/>
      <c r="C130" s="5"/>
      <c r="D130" s="5"/>
      <c r="E130" s="5"/>
      <c r="F130" s="5"/>
      <c r="G130" s="5"/>
      <c r="H130" s="1"/>
    </row>
    <row r="131" spans="1:8" x14ac:dyDescent="0.3">
      <c r="A131" s="1"/>
      <c r="B131" s="5"/>
      <c r="C131" s="5"/>
      <c r="D131" s="5"/>
      <c r="E131" s="5"/>
      <c r="F131" s="5"/>
      <c r="G131" s="5"/>
      <c r="H131" s="1"/>
    </row>
    <row r="132" spans="1:8" x14ac:dyDescent="0.3">
      <c r="A132" s="1"/>
      <c r="B132" s="5"/>
      <c r="C132" s="5"/>
      <c r="D132" s="5"/>
      <c r="E132" s="5"/>
      <c r="F132" s="5"/>
      <c r="G132" s="5"/>
      <c r="H132" s="1"/>
    </row>
    <row r="133" spans="1:8" x14ac:dyDescent="0.3">
      <c r="A133" s="1"/>
      <c r="B133" s="5"/>
      <c r="C133" s="5"/>
      <c r="D133" s="5"/>
      <c r="E133" s="5"/>
      <c r="F133" s="5"/>
      <c r="G133" s="5"/>
      <c r="H133" s="1"/>
    </row>
    <row r="134" spans="1:8" x14ac:dyDescent="0.3">
      <c r="A134" s="1"/>
      <c r="B134" s="5"/>
      <c r="C134" s="5"/>
      <c r="D134" s="5"/>
      <c r="E134" s="5"/>
      <c r="F134" s="5"/>
      <c r="G134" s="5"/>
      <c r="H134" s="1"/>
    </row>
    <row r="135" spans="1:8" x14ac:dyDescent="0.3">
      <c r="A135" s="1"/>
      <c r="B135" s="5"/>
      <c r="C135" s="5"/>
      <c r="D135" s="5"/>
      <c r="E135" s="5"/>
      <c r="F135" s="5"/>
      <c r="G135" s="5"/>
      <c r="H135" s="1"/>
    </row>
    <row r="136" spans="1:8" x14ac:dyDescent="0.3">
      <c r="A136" s="1"/>
      <c r="B136" s="5"/>
      <c r="C136" s="5"/>
      <c r="D136" s="5"/>
      <c r="E136" s="5"/>
      <c r="F136" s="5"/>
      <c r="G136" s="5"/>
      <c r="H136" s="1"/>
    </row>
    <row r="137" spans="1:8" x14ac:dyDescent="0.3">
      <c r="A137" s="1"/>
      <c r="B137" s="5"/>
      <c r="C137" s="5"/>
      <c r="D137" s="5"/>
      <c r="E137" s="5"/>
      <c r="F137" s="5"/>
      <c r="G137" s="5"/>
      <c r="H137" s="1"/>
    </row>
    <row r="138" spans="1:8" x14ac:dyDescent="0.3">
      <c r="A138" s="1"/>
      <c r="B138" s="5"/>
      <c r="C138" s="5"/>
      <c r="D138" s="5"/>
      <c r="E138" s="5"/>
      <c r="F138" s="5"/>
      <c r="G138" s="5"/>
      <c r="H138" s="1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45C3-304E-4C46-805B-1426F1AA1408}">
  <dimension ref="A1:H16"/>
  <sheetViews>
    <sheetView workbookViewId="0">
      <selection activeCell="I23" sqref="I23"/>
    </sheetView>
  </sheetViews>
  <sheetFormatPr baseColWidth="10" defaultRowHeight="16.5" x14ac:dyDescent="0.3"/>
  <sheetData>
    <row r="1" spans="1:8" x14ac:dyDescent="0.3">
      <c r="A1" s="17" t="s">
        <v>31</v>
      </c>
      <c r="B1" s="17"/>
      <c r="C1" s="17"/>
      <c r="D1" s="17"/>
      <c r="E1" s="17"/>
      <c r="F1" s="17"/>
      <c r="G1" s="17"/>
      <c r="H1" s="17"/>
    </row>
    <row r="2" spans="1:8" x14ac:dyDescent="0.3">
      <c r="A2" s="10" t="s">
        <v>5</v>
      </c>
      <c r="B2" s="10" t="s">
        <v>30</v>
      </c>
      <c r="C2" s="10" t="s">
        <v>24</v>
      </c>
      <c r="D2" s="10" t="s">
        <v>29</v>
      </c>
      <c r="E2" s="10" t="s">
        <v>23</v>
      </c>
      <c r="F2" s="10" t="s">
        <v>21</v>
      </c>
      <c r="G2" s="10" t="s">
        <v>10</v>
      </c>
      <c r="H2" s="10" t="s">
        <v>11</v>
      </c>
    </row>
    <row r="3" spans="1:8" x14ac:dyDescent="0.3">
      <c r="A3" s="10">
        <v>1</v>
      </c>
      <c r="B3" s="5">
        <v>7</v>
      </c>
      <c r="C3" s="5">
        <v>8</v>
      </c>
      <c r="D3" s="5">
        <f>B3^3 - EXP(0.8*B3) - 20</f>
        <v>52.573592573847236</v>
      </c>
      <c r="E3" s="5">
        <f>C3^3 - EXP(0.8*C3) - 20</f>
        <v>-109.84503787208223</v>
      </c>
      <c r="F3" s="5">
        <f t="shared" ref="F3:F11" si="0">C3 - E3*(C3-B3)/(E3-D3)</f>
        <v>7.3236918845424537</v>
      </c>
      <c r="G3" s="12">
        <f t="shared" ref="G3:G11" si="1">ABS(F3-C3)</f>
        <v>0.67630811545754632</v>
      </c>
      <c r="H3" s="1" t="str">
        <f>IF(OR(ABS(F3)&lt;CONFIG!$B$5,G3&lt;CONFIG!$B$5),"✓","→")</f>
        <v>→</v>
      </c>
    </row>
    <row r="4" spans="1:8" x14ac:dyDescent="0.3">
      <c r="A4" s="10">
        <f t="shared" ref="A4:A11" si="2">A3+1</f>
        <v>2</v>
      </c>
      <c r="B4" s="5">
        <f t="shared" ref="B4:B11" si="3">C3</f>
        <v>8</v>
      </c>
      <c r="C4" s="5">
        <f t="shared" ref="C4:C11" si="4">F3</f>
        <v>7.3236918845424537</v>
      </c>
      <c r="D4" s="5">
        <f t="shared" ref="D4:D11" si="5">E3</f>
        <v>-109.84503787208223</v>
      </c>
      <c r="E4" s="5">
        <f t="shared" ref="E4:E11" si="6">C4^3 - EXP(0.8*C4) - 20</f>
        <v>22.459621607538395</v>
      </c>
      <c r="F4" s="5">
        <f t="shared" si="0"/>
        <v>7.4384998166517802</v>
      </c>
      <c r="G4" s="12">
        <f t="shared" si="1"/>
        <v>0.11480793210932649</v>
      </c>
      <c r="H4" s="1" t="str">
        <f>IF(OR(ABS(F4)&lt;CONFIG!$B$5,G4&lt;CONFIG!$B$5),"✓","→")</f>
        <v>→</v>
      </c>
    </row>
    <row r="5" spans="1:8" x14ac:dyDescent="0.3">
      <c r="A5" s="10">
        <f t="shared" si="2"/>
        <v>3</v>
      </c>
      <c r="B5" s="5">
        <f t="shared" si="3"/>
        <v>7.3236918845424537</v>
      </c>
      <c r="C5" s="5">
        <f t="shared" si="4"/>
        <v>7.4384998166517802</v>
      </c>
      <c r="D5" s="5">
        <f t="shared" si="5"/>
        <v>22.459621607538395</v>
      </c>
      <c r="E5" s="5">
        <f t="shared" si="6"/>
        <v>7.5213043492045699</v>
      </c>
      <c r="F5" s="5">
        <f t="shared" si="0"/>
        <v>7.4963045468743443</v>
      </c>
      <c r="G5" s="12">
        <f t="shared" si="1"/>
        <v>5.780473022256416E-2</v>
      </c>
      <c r="H5" s="1" t="str">
        <f>IF(OR(ABS(F5)&lt;CONFIG!$B$5,G5&lt;CONFIG!$B$5),"✓","→")</f>
        <v>→</v>
      </c>
    </row>
    <row r="6" spans="1:8" x14ac:dyDescent="0.3">
      <c r="A6" s="10">
        <f t="shared" si="2"/>
        <v>4</v>
      </c>
      <c r="B6" s="5">
        <f t="shared" si="3"/>
        <v>7.4384998166517802</v>
      </c>
      <c r="C6" s="5">
        <f t="shared" si="4"/>
        <v>7.4963045468743443</v>
      </c>
      <c r="D6" s="5">
        <f t="shared" si="5"/>
        <v>7.5213043492045699</v>
      </c>
      <c r="E6" s="5">
        <f t="shared" si="6"/>
        <v>-0.98617349676993626</v>
      </c>
      <c r="F6" s="5">
        <f t="shared" si="0"/>
        <v>7.4896039131535757</v>
      </c>
      <c r="G6" s="12">
        <f t="shared" si="1"/>
        <v>6.7006337207686784E-3</v>
      </c>
      <c r="H6" s="1" t="str">
        <f>IF(OR(ABS(F6)&lt;CONFIG!$B$5,G6&lt;CONFIG!$B$5),"✓","→")</f>
        <v>→</v>
      </c>
    </row>
    <row r="7" spans="1:8" x14ac:dyDescent="0.3">
      <c r="A7" s="10">
        <f t="shared" si="2"/>
        <v>5</v>
      </c>
      <c r="B7" s="5">
        <f t="shared" si="3"/>
        <v>7.4963045468743443</v>
      </c>
      <c r="C7" s="5">
        <f t="shared" si="4"/>
        <v>7.4896039131535757</v>
      </c>
      <c r="D7" s="5">
        <f t="shared" si="5"/>
        <v>-0.98617349676993626</v>
      </c>
      <c r="E7" s="5">
        <f t="shared" si="6"/>
        <v>3.5648067670081218E-2</v>
      </c>
      <c r="F7" s="5">
        <f t="shared" si="0"/>
        <v>7.4898376767113461</v>
      </c>
      <c r="G7" s="12">
        <f t="shared" si="1"/>
        <v>2.337635577704944E-4</v>
      </c>
      <c r="H7" s="1" t="str">
        <f>IF(OR(ABS(F7)&lt;CONFIG!$B$5,G7&lt;CONFIG!$B$5),"✓","→")</f>
        <v>→</v>
      </c>
    </row>
    <row r="8" spans="1:8" x14ac:dyDescent="0.3">
      <c r="A8" s="10">
        <f t="shared" si="2"/>
        <v>6</v>
      </c>
      <c r="B8" s="5">
        <f t="shared" si="3"/>
        <v>7.4896039131535757</v>
      </c>
      <c r="C8" s="5">
        <f t="shared" si="4"/>
        <v>7.4898376767113461</v>
      </c>
      <c r="D8" s="5">
        <f t="shared" si="5"/>
        <v>3.5648067670081218E-2</v>
      </c>
      <c r="E8" s="5">
        <f t="shared" si="6"/>
        <v>1.5992364939165782E-4</v>
      </c>
      <c r="F8" s="5">
        <f t="shared" si="0"/>
        <v>7.4898387301426341</v>
      </c>
      <c r="G8" s="12">
        <f t="shared" si="1"/>
        <v>1.0534312879784125E-6</v>
      </c>
      <c r="H8" s="1" t="str">
        <f>IF(OR(ABS(F8)&lt;CONFIG!$B$5,G8&lt;CONFIG!$B$5),"✓","→")</f>
        <v>→</v>
      </c>
    </row>
    <row r="9" spans="1:8" x14ac:dyDescent="0.3">
      <c r="A9" s="10">
        <f t="shared" si="2"/>
        <v>7</v>
      </c>
      <c r="B9" s="5">
        <f t="shared" si="3"/>
        <v>7.4898376767113461</v>
      </c>
      <c r="C9" s="5">
        <f t="shared" si="4"/>
        <v>7.4898387301426341</v>
      </c>
      <c r="D9" s="5">
        <f t="shared" si="5"/>
        <v>1.5992364939165782E-4</v>
      </c>
      <c r="E9" s="5">
        <f t="shared" si="6"/>
        <v>-2.6115685614058748E-8</v>
      </c>
      <c r="F9" s="5">
        <f t="shared" si="0"/>
        <v>7.4898387299706357</v>
      </c>
      <c r="G9" s="12">
        <f t="shared" si="1"/>
        <v>1.7199841551018835E-10</v>
      </c>
      <c r="H9" s="1" t="str">
        <f>IF(OR(ABS(F9)&lt;CONFIG!$B$5,G9&lt;CONFIG!$B$5),"✓","→")</f>
        <v>✓</v>
      </c>
    </row>
    <row r="10" spans="1:8" x14ac:dyDescent="0.3">
      <c r="A10" s="10">
        <f t="shared" si="2"/>
        <v>8</v>
      </c>
      <c r="B10" s="5">
        <f t="shared" si="3"/>
        <v>7.4898387301426341</v>
      </c>
      <c r="C10" s="5">
        <f t="shared" si="4"/>
        <v>7.4898387299706357</v>
      </c>
      <c r="D10" s="5">
        <f t="shared" si="5"/>
        <v>-2.6115685614058748E-8</v>
      </c>
      <c r="E10" s="5">
        <f t="shared" si="6"/>
        <v>3.4106051316484809E-13</v>
      </c>
      <c r="F10" s="5">
        <f t="shared" si="0"/>
        <v>7.4898387299706384</v>
      </c>
      <c r="G10" s="12">
        <f t="shared" si="1"/>
        <v>2.6645352591003757E-15</v>
      </c>
      <c r="H10" s="1" t="str">
        <f>IF(OR(ABS(F10)&lt;CONFIG!$B$5,G10&lt;CONFIG!$B$5),"✓","→")</f>
        <v>✓</v>
      </c>
    </row>
    <row r="11" spans="1:8" x14ac:dyDescent="0.3">
      <c r="A11" s="10">
        <f t="shared" si="2"/>
        <v>9</v>
      </c>
      <c r="B11" s="5">
        <f t="shared" si="3"/>
        <v>7.4898387299706357</v>
      </c>
      <c r="C11" s="5">
        <f t="shared" si="4"/>
        <v>7.4898387299706384</v>
      </c>
      <c r="D11" s="5">
        <f t="shared" si="5"/>
        <v>3.4106051316484809E-13</v>
      </c>
      <c r="E11" s="5">
        <f t="shared" si="6"/>
        <v>-3.4106051316484809E-13</v>
      </c>
      <c r="F11" s="5">
        <f t="shared" si="0"/>
        <v>7.4898387299706375</v>
      </c>
      <c r="G11" s="12">
        <f t="shared" si="1"/>
        <v>8.8817841970012523E-16</v>
      </c>
      <c r="H11" s="1" t="str">
        <f>IF(OR(ABS(F11)&lt;CONFIG!$B$5,G11&lt;CONFIG!$B$5),"✓","→")</f>
        <v>✓</v>
      </c>
    </row>
    <row r="12" spans="1:8" x14ac:dyDescent="0.3">
      <c r="A12" s="1"/>
      <c r="B12" s="5"/>
      <c r="C12" s="5"/>
      <c r="D12" s="5"/>
      <c r="E12" s="5"/>
      <c r="F12" s="5"/>
      <c r="G12" s="5"/>
      <c r="H12" s="1"/>
    </row>
    <row r="13" spans="1:8" x14ac:dyDescent="0.3">
      <c r="A13" s="1"/>
      <c r="B13" s="5"/>
      <c r="C13" s="5"/>
      <c r="D13" s="5"/>
      <c r="E13" s="5"/>
      <c r="F13" s="5"/>
      <c r="G13" s="5"/>
      <c r="H13" s="1"/>
    </row>
    <row r="14" spans="1:8" x14ac:dyDescent="0.3">
      <c r="A14" s="1"/>
      <c r="B14" s="5"/>
      <c r="C14" s="5"/>
      <c r="D14" s="5"/>
      <c r="E14" s="5"/>
      <c r="F14" s="5"/>
      <c r="G14" s="5"/>
      <c r="H14" s="1"/>
    </row>
    <row r="15" spans="1:8" x14ac:dyDescent="0.3">
      <c r="A15" s="1"/>
      <c r="B15" s="5"/>
      <c r="C15" s="5"/>
      <c r="D15" s="5"/>
      <c r="E15" s="5"/>
      <c r="F15" s="5"/>
      <c r="G15" s="5"/>
      <c r="H15" s="1"/>
    </row>
    <row r="16" spans="1:8" x14ac:dyDescent="0.3">
      <c r="A16" s="1"/>
      <c r="B16" s="4"/>
      <c r="C16" s="4"/>
      <c r="D16" s="4"/>
      <c r="E16" s="4"/>
      <c r="F16" s="4"/>
      <c r="G16" s="4"/>
      <c r="H16" s="1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F615-CD2D-4D8E-B21E-A40F631FB4C9}">
  <dimension ref="A1:D10"/>
  <sheetViews>
    <sheetView workbookViewId="0">
      <selection activeCell="B7" sqref="B7"/>
    </sheetView>
  </sheetViews>
  <sheetFormatPr baseColWidth="10" defaultRowHeight="16.5" x14ac:dyDescent="0.3"/>
  <cols>
    <col min="1" max="1" width="16.875" customWidth="1"/>
    <col min="2" max="2" width="11.5" customWidth="1"/>
    <col min="3" max="3" width="13.25" customWidth="1"/>
  </cols>
  <sheetData>
    <row r="1" spans="1:4" x14ac:dyDescent="0.3">
      <c r="A1" s="15" t="s">
        <v>13</v>
      </c>
      <c r="B1" s="15"/>
      <c r="C1" s="15"/>
      <c r="D1" s="4"/>
    </row>
    <row r="2" spans="1:4" x14ac:dyDescent="0.3">
      <c r="A2" s="17" t="s">
        <v>31</v>
      </c>
      <c r="B2" s="17"/>
      <c r="C2" s="17"/>
      <c r="D2" s="4"/>
    </row>
    <row r="3" spans="1:4" x14ac:dyDescent="0.3">
      <c r="A3" s="4"/>
      <c r="B3" s="4"/>
      <c r="C3" s="4"/>
      <c r="D3" s="4"/>
    </row>
    <row r="4" spans="1:4" x14ac:dyDescent="0.3">
      <c r="A4" s="9" t="s">
        <v>14</v>
      </c>
      <c r="B4" s="4">
        <f>'SEC=3.0,4.0'!C7</f>
        <v>3.208219697395827</v>
      </c>
      <c r="C4" s="13">
        <f>'SEC=3.0,4.0'!G7</f>
        <v>1.0461965249675131E-7</v>
      </c>
      <c r="D4" s="4"/>
    </row>
    <row r="5" spans="1:4" x14ac:dyDescent="0.3">
      <c r="A5" s="9" t="s">
        <v>15</v>
      </c>
      <c r="B5" s="4">
        <f>COUNTIF('SEC=3.0,4.0'!H3:H8,"→")+1</f>
        <v>5</v>
      </c>
      <c r="C5" s="4"/>
      <c r="D5" s="4"/>
    </row>
    <row r="6" spans="1:4" x14ac:dyDescent="0.3">
      <c r="A6" s="4"/>
      <c r="B6" s="4"/>
      <c r="C6" s="4"/>
      <c r="D6" s="4"/>
    </row>
    <row r="7" spans="1:4" x14ac:dyDescent="0.3">
      <c r="A7" s="10" t="s">
        <v>16</v>
      </c>
      <c r="B7" s="4">
        <f>'SEC=7.0,8.0'!C9</f>
        <v>7.4898387301426341</v>
      </c>
      <c r="C7" s="12">
        <f>'SEC=7.0,8.0'!G9</f>
        <v>1.7199841551018835E-10</v>
      </c>
      <c r="D7" s="4"/>
    </row>
    <row r="8" spans="1:4" x14ac:dyDescent="0.3">
      <c r="A8" s="10" t="s">
        <v>15</v>
      </c>
      <c r="B8" s="1">
        <f>COUNTIF('SEC=7.0,8.0'!H3:H15,"→")+1</f>
        <v>7</v>
      </c>
      <c r="C8" s="4"/>
      <c r="D8" s="4"/>
    </row>
    <row r="9" spans="1:4" x14ac:dyDescent="0.3">
      <c r="A9" s="4"/>
      <c r="B9" s="4"/>
      <c r="C9" s="4"/>
      <c r="D9" s="4"/>
    </row>
    <row r="10" spans="1:4" x14ac:dyDescent="0.3">
      <c r="A10" s="4"/>
      <c r="B10" s="4"/>
      <c r="C10" s="4"/>
      <c r="D10" s="4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CONFIG</vt:lpstr>
      <vt:lpstr>RAÍZ 1</vt:lpstr>
      <vt:lpstr>RAÍZ 2</vt:lpstr>
      <vt:lpstr>RESULTADOS</vt:lpstr>
      <vt:lpstr>Newton=3.5</vt:lpstr>
      <vt:lpstr>Newton=7.5</vt:lpstr>
      <vt:lpstr>RESULTADOS (2)</vt:lpstr>
      <vt:lpstr>SEC=3.0,4.0</vt:lpstr>
      <vt:lpstr>SEC=7.0,8.0</vt:lpstr>
      <vt:lpstr>RESULTADOS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Nicole_Perez</dc:creator>
  <cp:lastModifiedBy>Nicole_Perez</cp:lastModifiedBy>
  <dcterms:created xsi:type="dcterms:W3CDTF">2025-11-29T16:06:55Z</dcterms:created>
  <dcterms:modified xsi:type="dcterms:W3CDTF">2025-11-30T01:04:51Z</dcterms:modified>
</cp:coreProperties>
</file>